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of Testing" sheetId="1" r:id="rId5"/>
    <sheet state="visible" name="Pivot Table 1" sheetId="2" r:id="rId6"/>
    <sheet state="visible" name="(Retired) Summary of Testing" sheetId="3" r:id="rId7"/>
    <sheet state="visible" name="Account" sheetId="4" r:id="rId8"/>
    <sheet state="visible" name="Contact" sheetId="5" r:id="rId9"/>
    <sheet state="visible" name="OrderContract" sheetId="6" r:id="rId10"/>
    <sheet state="hidden" name="Required Fields" sheetId="7" r:id="rId11"/>
    <sheet state="visible" name="Order-March4" sheetId="8" r:id="rId12"/>
    <sheet state="visible" name="Account- March4" sheetId="9" r:id="rId13"/>
    <sheet state="visible" name="Contact-March4" sheetId="10" r:id="rId14"/>
    <sheet state="visible" name="Aaron" sheetId="11" r:id="rId15"/>
  </sheets>
  <definedNames>
    <definedName hidden="1" localSheetId="0" name="_xlnm._FilterDatabase">'Summary of Testing'!$B$2:$U$27</definedName>
  </definedNames>
  <calcPr/>
  <pivotCaches>
    <pivotCache cacheId="0" r:id="rId16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tc={80f12e6e-b329-4148-84f8-a5c328bf3482}</author>
  </authors>
  <commentList>
    <comment authorId="0" xr:uid="{80f12e6e-b329-4148-84f8-a5c328bf348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@adam.haas@coastalcloud.us 
cc: @permender.singh@coastalcloud.us @jeffrey.francis@coastalcloud.us
Assigned to adam.haas@coastalcloud.us
</t>
      </text>
    </comment>
  </commentList>
</comments>
</file>

<file path=xl/sharedStrings.xml><?xml version="1.0" encoding="utf-8"?>
<sst xmlns="http://schemas.openxmlformats.org/spreadsheetml/2006/main" count="1592" uniqueCount="491">
  <si>
    <t>Test 01</t>
  </si>
  <si>
    <t>Test 02</t>
  </si>
  <si>
    <t>Test 03</t>
  </si>
  <si>
    <t>Test 04</t>
  </si>
  <si>
    <t>Test 05</t>
  </si>
  <si>
    <t>Master Test Case</t>
  </si>
  <si>
    <t>Grouping</t>
  </si>
  <si>
    <t>Source System</t>
  </si>
  <si>
    <t>Destination System</t>
  </si>
  <si>
    <t>Primary SF Object(s)</t>
  </si>
  <si>
    <t>Source System Tester</t>
  </si>
  <si>
    <t>Destination System Tester</t>
  </si>
  <si>
    <t>Test Size</t>
  </si>
  <si>
    <t>Success</t>
  </si>
  <si>
    <t>Failures</t>
  </si>
  <si>
    <t>To Be Conducted</t>
  </si>
  <si>
    <t>Order #</t>
  </si>
  <si>
    <t>Order Id</t>
  </si>
  <si>
    <t>Status
Source System</t>
  </si>
  <si>
    <t>Status
Destination System</t>
  </si>
  <si>
    <r>
      <rPr>
        <rFont val="system-ui, -apple-system, BlinkMacSystemFont, &quot;Segoe UI&quot;, Roboto, &quot;Helvetica Neue&quot;, Arial, sans-serif, &quot;Apple Color Emoji&quot;, &quot;Segoe UI Emoji&quot;, &quot;Segoe UI Symbol&quot;"/>
        <color rgb="FF1155CC"/>
        <u/>
      </rPr>
      <t>MTC-0386</t>
    </r>
  </si>
  <si>
    <t>1 - SF to WD</t>
  </si>
  <si>
    <t>Salesforce</t>
  </si>
  <si>
    <t>Workday</t>
  </si>
  <si>
    <t>Account</t>
  </si>
  <si>
    <t>Aaron Broom &amp; Ben Kozlowski</t>
  </si>
  <si>
    <t>Joe Romo</t>
  </si>
  <si>
    <t>00000645</t>
  </si>
  <si>
    <t>801WC00000eKROQYA4</t>
  </si>
  <si>
    <t>Pending Validation</t>
  </si>
  <si>
    <t>00000646</t>
  </si>
  <si>
    <t>801WC00000eJw9XYAS</t>
  </si>
  <si>
    <t>00000662</t>
  </si>
  <si>
    <t>801WC00000eLFprYAG</t>
  </si>
  <si>
    <r>
      <rPr>
        <rFont val="system-ui, -apple-system, BlinkMacSystemFont, &quot;Segoe UI&quot;, Roboto, &quot;Helvetica Neue&quot;, Arial, sans-serif, &quot;Apple Color Emoji&quot;, &quot;Segoe UI Emoji&quot;, &quot;Segoe UI Symbol&quot;"/>
        <color rgb="FF1155CC"/>
        <u/>
      </rPr>
      <t>MTC-0387</t>
    </r>
  </si>
  <si>
    <t>Contact</t>
  </si>
  <si>
    <r>
      <rPr>
        <rFont val="system-ui, -apple-system, BlinkMacSystemFont, &quot;Segoe UI&quot;, Roboto, &quot;Helvetica Neue&quot;, Arial, sans-serif, &quot;Apple Color Emoji&quot;, &quot;Segoe UI Emoji&quot;, &quot;Segoe UI Symbol&quot;"/>
        <color rgb="FF1155CC"/>
        <u/>
      </rPr>
      <t>MTC-0388</t>
    </r>
  </si>
  <si>
    <t>Orders &amp; Order Line Items</t>
  </si>
  <si>
    <t>2 - SF* to Legacy</t>
  </si>
  <si>
    <t>D365</t>
  </si>
  <si>
    <t>GlobalScape (Salesforce)</t>
  </si>
  <si>
    <t>Tripwire (Salesforce)</t>
  </si>
  <si>
    <t>Failure</t>
  </si>
  <si>
    <r>
      <rPr>
        <rFont val="system-ui, -apple-system, BlinkMacSystemFont, &quot;Segoe UI&quot;, Roboto, &quot;Helvetica Neue&quot;, Arial, sans-serif, &quot;Apple Color Emoji&quot;, &quot;Segoe UI Emoji&quot;, &quot;Segoe UI Symbol&quot;"/>
        <color rgb="FF1155CC"/>
        <u/>
      </rPr>
      <t>MTC-0389</t>
    </r>
  </si>
  <si>
    <t>3 - WD to SF</t>
  </si>
  <si>
    <t>Invoices</t>
  </si>
  <si>
    <r>
      <rPr>
        <rFont val="system-ui, -apple-system, BlinkMacSystemFont, &quot;Segoe UI&quot;, Roboto, &quot;Helvetica Neue&quot;, Arial, sans-serif, &quot;Apple Color Emoji&quot;, &quot;Segoe UI Emoji&quot;, &quot;Segoe UI Symbol&quot;"/>
        <color rgb="FF1155CC"/>
        <u/>
      </rPr>
      <t>MTC-0390</t>
    </r>
  </si>
  <si>
    <t>Payment</t>
  </si>
  <si>
    <t>4 - WD to Legacy</t>
  </si>
  <si>
    <r>
      <rPr>
        <rFont val="system-ui, -apple-system, BlinkMacSystemFont, &quot;Segoe UI&quot;, Roboto, &quot;Helvetica Neue&quot;, Arial, sans-serif, &quot;Apple Color Emoji&quot;, &quot;Segoe UI Emoji&quot;, &quot;Segoe UI Symbol&quot;"/>
        <color rgb="FF1155CC"/>
        <u/>
      </rPr>
      <t>MTC-0530</t>
    </r>
  </si>
  <si>
    <t>5 - SF to HS</t>
  </si>
  <si>
    <t>HubSpot</t>
  </si>
  <si>
    <r>
      <rPr>
        <rFont val="Arial"/>
        <color rgb="FF1155CC"/>
        <u/>
      </rPr>
      <t>MTC-0541</t>
    </r>
  </si>
  <si>
    <r>
      <rPr>
        <rFont val="system-ui, -apple-system, BlinkMacSystemFont, &quot;Segoe UI&quot;, Roboto, &quot;Helvetica Neue&quot;, Arial, sans-serif, &quot;Apple Color Emoji&quot;, &quot;Segoe UI Emoji&quot;, &quot;Segoe UI Symbol&quot;"/>
        <color rgb="FF1155CC"/>
        <u/>
      </rPr>
      <t>MTC-054</t>
    </r>
    <r>
      <rPr>
        <rFont val="system-ui"/>
        <color rgb="FF1155CC"/>
        <u/>
      </rPr>
      <t>2</t>
    </r>
  </si>
  <si>
    <t>Opportunity</t>
  </si>
  <si>
    <r>
      <rPr>
        <color rgb="FF1155CC"/>
        <u/>
      </rPr>
      <t>MTC-0543</t>
    </r>
  </si>
  <si>
    <t>6 - CS to WD</t>
  </si>
  <si>
    <t>Certinia</t>
  </si>
  <si>
    <t>Usage Data</t>
  </si>
  <si>
    <t>TBD</t>
  </si>
  <si>
    <r>
      <rPr>
        <rFont val="system-ui, -apple-system, BlinkMacSystemFont, &quot;Segoe UI&quot;, Roboto, &quot;Helvetica Neue&quot;, Arial, sans-serif, &quot;Apple Color Emoji&quot;, &quot;Segoe UI Emoji&quot;, &quot;Segoe UI Symbol&quot;"/>
        <color rgb="FF1155CC"/>
        <u/>
      </rPr>
      <t>MTC-0391</t>
    </r>
  </si>
  <si>
    <t>6 - HS to SF</t>
  </si>
  <si>
    <t>Submission / Leads</t>
  </si>
  <si>
    <t>Tripwire failed due to a Tripwire environment issue. 
{
"tripwire": {
"status": "failed",
"message": "'Billing Country' must contain a value ",
"data": ""
},</t>
  </si>
  <si>
    <t>Overall Success Rate</t>
  </si>
  <si>
    <t>Tested Success Rate</t>
  </si>
  <si>
    <t>Tested Failure(s)</t>
  </si>
  <si>
    <t>SUM of Failures</t>
  </si>
  <si>
    <t>Grand Total</t>
  </si>
  <si>
    <t>Test#</t>
  </si>
  <si>
    <t>Test Permformed</t>
  </si>
  <si>
    <t>Unit Testing</t>
  </si>
  <si>
    <t>Conduct</t>
  </si>
  <si>
    <t>Passed</t>
  </si>
  <si>
    <t>Failed</t>
  </si>
  <si>
    <t>Reason for Failure</t>
  </si>
  <si>
    <t>Pass 1</t>
  </si>
  <si>
    <t>Pass 2</t>
  </si>
  <si>
    <t>Pass 3</t>
  </si>
  <si>
    <t>Pass 4</t>
  </si>
  <si>
    <t>Pass 5</t>
  </si>
  <si>
    <t>Pass 6</t>
  </si>
  <si>
    <t>Pass 7</t>
  </si>
  <si>
    <t>Pass 8</t>
  </si>
  <si>
    <t>Pass 9</t>
  </si>
  <si>
    <t>Pass 10</t>
  </si>
  <si>
    <t>Done</t>
  </si>
  <si>
    <t>SF Accounts to Workday</t>
  </si>
  <si>
    <t>passed</t>
  </si>
  <si>
    <t>SF Contacts to Workday</t>
  </si>
  <si>
    <t>SF Orders &amp; Order Lines to Workday</t>
  </si>
  <si>
    <t>legal entity hard coded, company should be dynamic, need to validate dynamic</t>
  </si>
  <si>
    <t>Draft, address in the Biling Schedule and then Activate</t>
  </si>
  <si>
    <t>SF Accounts to Tripwire, GS, D365</t>
  </si>
  <si>
    <t xml:space="preserve">tested individually not as a single execution, legacy events </t>
  </si>
  <si>
    <t>Tripwire</t>
  </si>
  <si>
    <t xml:space="preserve">GS </t>
  </si>
  <si>
    <t xml:space="preserve">SF Contacts to </t>
  </si>
  <si>
    <t>SF Orders &amp; Order Lines to Tripwire, GS, D365</t>
  </si>
  <si>
    <t>GS</t>
  </si>
  <si>
    <t>Workday Invoices to SF Workday Invoice</t>
  </si>
  <si>
    <t xml:space="preserve">Workday Invoices to </t>
  </si>
  <si>
    <t>Workday Payments to SF Payments</t>
  </si>
  <si>
    <t>Workday Payments to Tripwire, GS, D365</t>
  </si>
  <si>
    <t>HubSpot Form Submission to Salesforce</t>
  </si>
  <si>
    <t>SF Accounts to HubSpot</t>
  </si>
  <si>
    <t>SF Contacts to HubSpot</t>
  </si>
  <si>
    <t>SF Opportunities to Deals in Hubspot - Raid #573</t>
  </si>
  <si>
    <t>Usage Based to Workday (Certinia)</t>
  </si>
  <si>
    <t>Permissions were pushed to UAT</t>
  </si>
  <si>
    <t>Target</t>
  </si>
  <si>
    <t>Source</t>
  </si>
  <si>
    <t>WD Object</t>
  </si>
  <si>
    <t>WD Field</t>
  </si>
  <si>
    <t>Element Type</t>
  </si>
  <si>
    <t>SF Object</t>
  </si>
  <si>
    <t>SF Field</t>
  </si>
  <si>
    <t>Required</t>
  </si>
  <si>
    <t>Data Type</t>
  </si>
  <si>
    <t>Example</t>
  </si>
  <si>
    <t>Notes</t>
  </si>
  <si>
    <t>Submit_Customer_Request</t>
  </si>
  <si>
    <t>Customer_ID</t>
  </si>
  <si>
    <t>Workday_Customer_ID__c</t>
  </si>
  <si>
    <t>No</t>
  </si>
  <si>
    <t>Text - External Id</t>
  </si>
  <si>
    <t>Customer_Reference_ID</t>
  </si>
  <si>
    <t>DUNS_Number__c</t>
  </si>
  <si>
    <t>Yes</t>
  </si>
  <si>
    <t>Customer_Name</t>
  </si>
  <si>
    <t>Name</t>
  </si>
  <si>
    <t>Business_Entity_Status_Value_ID</t>
  </si>
  <si>
    <t>Customer_SF_Status__c,Credit_Hold__c</t>
  </si>
  <si>
    <t>PICKLIST</t>
  </si>
  <si>
    <t>Active,Inactive, Hold</t>
  </si>
  <si>
    <t>Customer_Category_ID</t>
  </si>
  <si>
    <t>Type</t>
  </si>
  <si>
    <t>Customer,Partner</t>
  </si>
  <si>
    <t>https://docs.google.com/spreadsheets/d/1K8ZkZ1h4biTshGZQPnEJWVBO8KnBmJLY/edit?gid=1801088628#gid=1801088628</t>
  </si>
  <si>
    <t>Customer_Group_ID</t>
  </si>
  <si>
    <t>Customer_Group__c</t>
  </si>
  <si>
    <t>Distributor</t>
  </si>
  <si>
    <t>https://docs.google.com/spreadsheets/d/1nvJE8xLDzMKw_L_n7Fb1pljPh1NMi2z1/edit?gid=1420856203#gid=1420856203</t>
  </si>
  <si>
    <t>DUNS_Number</t>
  </si>
  <si>
    <t>Payment_Terms_ID</t>
  </si>
  <si>
    <t>net_terms__c</t>
  </si>
  <si>
    <t>Immediate</t>
  </si>
  <si>
    <t>https://docs.google.com/spreadsheets/d/1atspKdZFoWdulPKFRg3Bh45UNflzmGnP/edit?gid=908143852#gid=908143852</t>
  </si>
  <si>
    <t>Invoice_Delivery_Type_Reference.Document_Delivery_Type_ID</t>
  </si>
  <si>
    <t>Invoice_Delivery_Default__c</t>
  </si>
  <si>
    <t>Concat Line1 and Line 2</t>
  </si>
  <si>
    <t>Statement_Delivery_Type_Reference.Document_Delivery_Type_ID</t>
  </si>
  <si>
    <t>Statement_Delivery_Type__c</t>
  </si>
  <si>
    <t>Dunning_Delivery_Type_Reference.Document_Delivery_Type_ID</t>
  </si>
  <si>
    <t>Dunning_Delivery_Type__c</t>
  </si>
  <si>
    <t>Business_Entity_Data</t>
  </si>
  <si>
    <t>Nested</t>
  </si>
  <si>
    <t>Business_Entity_Data.Business_Entity_Name</t>
  </si>
  <si>
    <t>Contact_Data</t>
  </si>
  <si>
    <t>Contact_Data.Address_Data</t>
  </si>
  <si>
    <t>Contact_Data.Address_Data.Country_Reference</t>
  </si>
  <si>
    <t>Places</t>
  </si>
  <si>
    <t>Country_Code__c</t>
  </si>
  <si>
    <t>Address</t>
  </si>
  <si>
    <t>US</t>
  </si>
  <si>
    <t>Contact_Data.Address_Data.Address_Line_1</t>
  </si>
  <si>
    <t>Places__c.Street_Address_Line_1__c
Places__c.Street_Address_Line_2__c</t>
  </si>
  <si>
    <t>Text</t>
  </si>
  <si>
    <t>Contact_Data.Address_Data.Municipality</t>
  </si>
  <si>
    <t>City__c</t>
  </si>
  <si>
    <t>SH</t>
  </si>
  <si>
    <t>Contact_Data.Address_Data.Country_Region_Reference</t>
  </si>
  <si>
    <t>Country_State_Province_Formula__c</t>
  </si>
  <si>
    <t>US_MI</t>
  </si>
  <si>
    <t>Contact_Data.Address_Data.Postal_Code</t>
  </si>
  <si>
    <t>Postal_Zip_Code__c</t>
  </si>
  <si>
    <t>Usage_Data</t>
  </si>
  <si>
    <t>Usage_Data.Public</t>
  </si>
  <si>
    <t>Public__c</t>
  </si>
  <si>
    <t>Usage_Data.Primary</t>
  </si>
  <si>
    <t>Primary__c</t>
  </si>
  <si>
    <t>Checkbox</t>
  </si>
  <si>
    <t>Usage_Data.Communication_Usage_Type_ID</t>
  </si>
  <si>
    <t>Usage_Type__c</t>
  </si>
  <si>
    <t>Business,Work</t>
  </si>
  <si>
    <t>Usage_Data.Communication_Usage_Behavior_ID</t>
  </si>
  <si>
    <t>Location_Type__c</t>
  </si>
  <si>
    <t>Billling,Shipping,Regulatory</t>
  </si>
  <si>
    <t>Usage_Data.Communication_Usage_Behavior_Tenanted_ID</t>
  </si>
  <si>
    <t>Address_ID</t>
  </si>
  <si>
    <t>Places__c.Id (sf)
Places.Legacy_Id__c &gt; "DUNS"+"_"+Composite Address (azure)</t>
  </si>
  <si>
    <t xml:space="preserve">001DP00000KNEB7AAF_SHIPPING_1KELLOGGSQBATTLECREEK_MICHIGAN_MI_49017_UNITED_STATES
</t>
  </si>
  <si>
    <t>Put_Business_Entity_Contact_Request</t>
  </si>
  <si>
    <t>Business_Entity_Contact_Data</t>
  </si>
  <si>
    <t>Business_Entity_Contact_Data.Customer_ID</t>
  </si>
  <si>
    <t>Contact.AccountId.Workday_Customer_ID__c</t>
  </si>
  <si>
    <t>Text - Exernal id</t>
  </si>
  <si>
    <t>Business_Entity_Contact_Data.Business_Entity_Contact_ID</t>
  </si>
  <si>
    <t>Business_Entity_Contact_ID__c</t>
  </si>
  <si>
    <t>abc@xyz.com'</t>
  </si>
  <si>
    <t>Business_Entity_Contact_Data.Business_Entity_Contact_Personal_Data</t>
  </si>
  <si>
    <t>Name_Data</t>
  </si>
  <si>
    <t>Name_Data.Name_Detail_Data</t>
  </si>
  <si>
    <t>yes</t>
  </si>
  <si>
    <t>Name_Data.Name_Detail_Data.Country_Reference</t>
  </si>
  <si>
    <t>MailingCountryCode</t>
  </si>
  <si>
    <t>Name_Data.Name_Detail_Data.First_Name</t>
  </si>
  <si>
    <t>FirstName</t>
  </si>
  <si>
    <t>TExt</t>
  </si>
  <si>
    <t>Ashok</t>
  </si>
  <si>
    <t>Name_Data.Name_Detail_Data.Last_Name</t>
  </si>
  <si>
    <t>LastName</t>
  </si>
  <si>
    <t>Kota</t>
  </si>
  <si>
    <t>Name_Data.Name_Detail_Data.Contact_Data</t>
  </si>
  <si>
    <t>Name_Data.Name_Detail_Data.Phone_Data</t>
  </si>
  <si>
    <t>CName_Data.Name_Detail_Data.ountry_ISO_Code</t>
  </si>
  <si>
    <t>Workday_MobilePhone_Country_ISO_Code__c</t>
  </si>
  <si>
    <t>USA</t>
  </si>
  <si>
    <t>Name_Data.Name_Detail_Data.International_Phone_Code</t>
  </si>
  <si>
    <t>Workday_MobilePhone_International_Phone__c</t>
  </si>
  <si>
    <t>Foruula Text</t>
  </si>
  <si>
    <t>Name_Data.Name_Detail_Data.Phone_Number</t>
  </si>
  <si>
    <t>MobilePhone</t>
  </si>
  <si>
    <t>Phone</t>
  </si>
  <si>
    <t>Name_Data.Name_Detail_Data.Phone_Device_Type_Reference</t>
  </si>
  <si>
    <t>Name_Data.Name_Detail_Data.Phone_Device_Type_ID</t>
  </si>
  <si>
    <t>Workday_MobilePhone_Device_Type__c</t>
  </si>
  <si>
    <t>Landline,Fax, Mobile</t>
  </si>
  <si>
    <t>Workday_MobilePhone_Public__c</t>
  </si>
  <si>
    <t>Type_Data</t>
  </si>
  <si>
    <t>Type_Data.Primary</t>
  </si>
  <si>
    <t>Workday_MobilePhone_Primary__c</t>
  </si>
  <si>
    <t>Communication_Usage_Type_ID</t>
  </si>
  <si>
    <t>Workday_MobilePhone_Usage_Type__c</t>
  </si>
  <si>
    <t>WORK,HOME</t>
  </si>
  <si>
    <t>Submit_Customer_Contract_Request</t>
  </si>
  <si>
    <t>Customer_Contract_Data</t>
  </si>
  <si>
    <t>Customer_Contract_Data.Customer_Contract_ID.</t>
  </si>
  <si>
    <t>Order</t>
  </si>
  <si>
    <t>Workday_Contract_ID__c</t>
  </si>
  <si>
    <t>Text-externalid</t>
  </si>
  <si>
    <t>Submit</t>
  </si>
  <si>
    <t>Status</t>
  </si>
  <si>
    <t>Draft,Activated,Superseded,Provisioned,Order Complete</t>
  </si>
  <si>
    <t>Company_Reference_ID</t>
  </si>
  <si>
    <t>Order.LegalEntity</t>
  </si>
  <si>
    <t>WorkdayReferenceID__c</t>
  </si>
  <si>
    <t>https://docs.google.com/spreadsheets/d/1UjP0KS6rucXsT1Xrim-Dh1De8zW2syN2/edit?gid=959807356#gid=959807356</t>
  </si>
  <si>
    <t>Currency_ID</t>
  </si>
  <si>
    <t>CurrencyIsoCode</t>
  </si>
  <si>
    <t>Bill_To_Customer_Reference.Customer_ID</t>
  </si>
  <si>
    <t>Order.BillToContact.Account</t>
  </si>
  <si>
    <t>Workday_Customer_Id__c</t>
  </si>
  <si>
    <t>Ship_To_Customer_Reference.Customer_ID</t>
  </si>
  <si>
    <t>Order.ShipToContact.Account</t>
  </si>
  <si>
    <t>Sold_To_Customer_Reference.Customer_ID</t>
  </si>
  <si>
    <t>Order.SoldToContact.Account</t>
  </si>
  <si>
    <t>Contract_Type_ID</t>
  </si>
  <si>
    <t>Workday_Contract_Type__c</t>
  </si>
  <si>
    <t>Master_Contract</t>
  </si>
  <si>
    <t>Only this value is accepted</t>
  </si>
  <si>
    <t>Customer_Contract_Number</t>
  </si>
  <si>
    <t>OrderNumber</t>
  </si>
  <si>
    <t>Auto Number</t>
  </si>
  <si>
    <t>Payment_Term_Workday_Reference_ID__c</t>
  </si>
  <si>
    <t>Customer_Contract_Effective_Date</t>
  </si>
  <si>
    <t>EffectiveDate</t>
  </si>
  <si>
    <t>Date</t>
  </si>
  <si>
    <t>PO_Number</t>
  </si>
  <si>
    <t>PoNumber</t>
  </si>
  <si>
    <t>Salesperson_Reference</t>
  </si>
  <si>
    <t>OwnerId</t>
  </si>
  <si>
    <r>
      <rPr>
        <rFont val="Arial"/>
        <color theme="1"/>
      </rPr>
      <t>Lookup(u</t>
    </r>
    <r>
      <rPr>
        <rFont val="Arial"/>
        <color theme="1"/>
        <u/>
      </rPr>
      <t>ser,</t>
    </r>
  </si>
  <si>
    <t>Current_Contract_Amount</t>
  </si>
  <si>
    <t>TotalAmount</t>
  </si>
  <si>
    <t>Currency(16, 2)</t>
  </si>
  <si>
    <t>Contract_Name</t>
  </si>
  <si>
    <t>Contract_Description</t>
  </si>
  <si>
    <t>Description</t>
  </si>
  <si>
    <t>Long Text Area(32000)</t>
  </si>
  <si>
    <t>Customer_Contract_Line_Replacement_Data</t>
  </si>
  <si>
    <t>Atleast one</t>
  </si>
  <si>
    <t>Customer_Contract_Line_Replacement_Data.Receivable_Contract_Line_Reference_ID</t>
  </si>
  <si>
    <t>OrderItem</t>
  </si>
  <si>
    <t>Id</t>
  </si>
  <si>
    <t>Customer_Contract_Line_Replacement_Data.Line_Number</t>
  </si>
  <si>
    <t>LineNumber</t>
  </si>
  <si>
    <t>Number(9, 0)</t>
  </si>
  <si>
    <t>Customer_Contract_Line_Replacement_Data.Contract_Line_Type_ID</t>
  </si>
  <si>
    <t>Workday_Contract_Line_Type__c</t>
  </si>
  <si>
    <t>Text(40)</t>
  </si>
  <si>
    <t>Usage Based - [FIXED AMOUNT, PREPAID, USAGE BASED]</t>
  </si>
  <si>
    <t>Customer_Contract_Line_Replacement_Data.Sales_Item_ID</t>
  </si>
  <si>
    <t>OrderItem.Product2</t>
  </si>
  <si>
    <t>Workday_Sales_Item_ID__c</t>
  </si>
  <si>
    <t>Text(40) (External ID) (Unique Case Insensitive)</t>
  </si>
  <si>
    <t>Customer_Contract_Line_Replacement_Data.Customer_Contract_Line_Start_Date</t>
  </si>
  <si>
    <t>ServiceDate</t>
  </si>
  <si>
    <t>Customer_Contract_Line_Replacement_Data.Customer_Contract_Line_End_Date</t>
  </si>
  <si>
    <t>EndDate</t>
  </si>
  <si>
    <t>Customer_Contract_Line_Replacement_Data.Quantity</t>
  </si>
  <si>
    <t>Quantity</t>
  </si>
  <si>
    <t>Number(16, 2)</t>
  </si>
  <si>
    <t>Customer_Contract_Line_Replacement_Data.Unit_of_Measure_Reference</t>
  </si>
  <si>
    <t>Units__c</t>
  </si>
  <si>
    <t>Number(18, 0)</t>
  </si>
  <si>
    <t>Customer_Contract_Line_Replacement_Data.Unit_Cost</t>
  </si>
  <si>
    <t>UnitPrice</t>
  </si>
  <si>
    <t>Customer_Contract_Line_Replacement_Data.Extended_Amount</t>
  </si>
  <si>
    <t>TotalLineAmount</t>
  </si>
  <si>
    <t>Customer_Contract_Line_Replacement_Data.Billing_Schedule_From_Date</t>
  </si>
  <si>
    <t>Billing_Schedule_From_Date__c</t>
  </si>
  <si>
    <t>Customer_Contract_Line_Replacement_Data.Billing_Schedule_To_Date</t>
  </si>
  <si>
    <t>Billing_Schedule_To_Date__c</t>
  </si>
  <si>
    <t>Customer_Contract_Line_Replacement_Data.Ship_To_Address_Reference.Address_ID</t>
  </si>
  <si>
    <t>Ship_To_Address__r.Composite_Address_Key__c</t>
  </si>
  <si>
    <t>Salesforce/Azure Field API Name</t>
  </si>
  <si>
    <t>Values</t>
  </si>
  <si>
    <t>Account Fields</t>
  </si>
  <si>
    <t>Contact(BillToContactId)</t>
  </si>
  <si>
    <t>Contact(ShipToContatId)</t>
  </si>
  <si>
    <t xml:space="preserve">Status </t>
  </si>
  <si>
    <t>Completed</t>
  </si>
  <si>
    <t>AccountId</t>
  </si>
  <si>
    <t>AccountId.Workday_Customer_ID__c (sf)
 Workday_Sold_To_Customer__c (azure)</t>
  </si>
  <si>
    <t>AccoundId</t>
  </si>
  <si>
    <t>Customer Salesforce Status</t>
  </si>
  <si>
    <t>BillToContactId</t>
  </si>
  <si>
    <t>DUNS Number</t>
  </si>
  <si>
    <t>DUNS_Number__c (Required for Upsert)</t>
  </si>
  <si>
    <t>ShipToContactId</t>
  </si>
  <si>
    <t>Places.Country Code</t>
  </si>
  <si>
    <t>Places__c.Country_Code__c</t>
  </si>
  <si>
    <t>Ship_To_Address__c (Places lookup)</t>
  </si>
  <si>
    <t>Ship_To_Address__c</t>
  </si>
  <si>
    <t>Places__c.Street_Address_Line_1__c
Places__c.Street_Address_Line_2__c
Places__c.Street_Address_Line_3__c</t>
  </si>
  <si>
    <t>Bill_To_Address__c</t>
  </si>
  <si>
    <t>Places__c.City__c</t>
  </si>
  <si>
    <t>LegalEntityId.Workday_Reference_ID</t>
  </si>
  <si>
    <t>Places__c.Postal_Zip_Code__c
Places__c.Primary__c
Places__c.Public__c
Places__c.Usage_Type__c
Places.Location_Type__c</t>
  </si>
  <si>
    <t>Statement Delivery Type</t>
  </si>
  <si>
    <t>Dunning Delivery Type</t>
  </si>
  <si>
    <t>Legacy_Id__c / Id
 ??invoicedetailid</t>
  </si>
  <si>
    <t>Invoice Delivery Default</t>
  </si>
  <si>
    <t>Places.State</t>
  </si>
  <si>
    <t>Workday_ID__c</t>
  </si>
  <si>
    <t>Credit Hold</t>
  </si>
  <si>
    <t>Workday_Sync_Status__c</t>
  </si>
  <si>
    <t>Workday_Sync_Message__c</t>
  </si>
  <si>
    <t>Customer Group</t>
  </si>
  <si>
    <t>Workday_Sync_Payload__c</t>
  </si>
  <si>
    <t>Net Terms</t>
  </si>
  <si>
    <t>Workday_Sync_CorrelationId__c</t>
  </si>
  <si>
    <t>SoldToCustomerDUNsNumber (azure only)</t>
  </si>
  <si>
    <t>BillToCustomerDUNsNumber (azure only)</t>
  </si>
  <si>
    <t>https://helpsystemsllc.sharepoint.com/:x:/r/sites/PROJ-LoBOperationalReadinessTransformation/_layouts/15/Doc.aspx?sourcedoc=%7BD77D89CF-47A2-4050-BCE5-23D13E0F4D42%7D&amp;file=Fortra%20-%20Field%20Level%20(FINAL).xlsx&amp;fromShare=true&amp;action=default&amp;mobileredirect=true</t>
  </si>
  <si>
    <t>ShipToCustomerDUNsNumber (azure only)</t>
  </si>
  <si>
    <t>Ship_To_Account__r.Workday_Customer_ID__c (sf)
 Workday_Ship_To_Customer__c (azure)</t>
  </si>
  <si>
    <t>Ship_To_Address__c (sf. now a Places lookup)
 Workday_Ship_To_Address__c (azure)</t>
  </si>
  <si>
    <t>PlacesLookup (DUNS+Composite Address)</t>
  </si>
  <si>
    <t>Bill_To_Account__r.Workday_Customer_ID__c (sf)
 Workday_Bill_To_Customer__c (azure)</t>
  </si>
  <si>
    <t>Bill_To_Address__c (sf. now a Places lookup)
 Workday_Bill_To_Address__c (azure)</t>
  </si>
  <si>
    <t>OrderReferenceNumber</t>
  </si>
  <si>
    <t>PaymentTermId.Workday_Reference_ID</t>
  </si>
  <si>
    <t>PONumber</t>
  </si>
  <si>
    <t>OwnerId.Workday_Worker_ID</t>
  </si>
  <si>
    <t>OrderAmount</t>
  </si>
  <si>
    <t>Billing_Template_Reference</t>
  </si>
  <si>
    <t>Version_Number__c</t>
  </si>
  <si>
    <t>Order Lines</t>
  </si>
  <si>
    <t>OrderId.Workday_Contract_ID__c</t>
  </si>
  <si>
    <t>Product2Id.Workday_Sales_Item_ID</t>
  </si>
  <si>
    <t>QuantityUnitOfMeasureId.Workday_Reference_ID</t>
  </si>
  <si>
    <t>Product2Id.Line_Item_Description_Override (TBD)</t>
  </si>
  <si>
    <t>SoftareMaintenanceSingleSku split line</t>
  </si>
  <si>
    <t>??invoicedetailid</t>
  </si>
  <si>
    <t>Workday_Revenue_Category__c (delete) &gt;
 Product2.Revenue_Category__c / According to the service documentation we don't have to send it if we send the product</t>
  </si>
  <si>
    <t>Rev Schedule='PrePaidService'</t>
  </si>
  <si>
    <t>Request</t>
  </si>
  <si>
    <t>Response</t>
  </si>
  <si>
    <t>Mapping sheet</t>
  </si>
  <si>
    <t>801WC00000biEOXYA2</t>
  </si>
  <si>
    <t>{
      "sfContractId": "801WC00000biEOXYA2",
      "sfAccountId": "001WC00000WizhMYAR",
      "fortraSfdcExternalId": "801WC00000biEOXYA2",
      "orderNumber": "00000313",
      "name": "Q-Integration Testing 1 - 3.4.26-2026-03-04",
      "opportunityId": "006WC00000MmmgnYAB",
      "totalAmount": 3675,
      "currencyIsoCode": "USD",
      "contractReferenceId": "801WC00000biEOXYA2",
      "contractStatus": "Draft",
      "companyReference": "COM000",
      "currencyID": "USD",
      "shipToCustomerID": "123837",
      "soldToCustomerID": "123837",
      "billToCustomerID": "123837",
      "contractEffectiveDate": "2026-03-04",
      "salespersonReference": "005a500001eZ8nxAAC",
      "currentContractAmount": 3675,
      "contractLineData": [
        {
          "contractLineReference": "802WC00000JxoM2YAJ",
          "lineNumber": 1,
          "quantity": 1,
          "unitCost": 3675,
          "shipToCustomerID": "123837"
        }
      ]
    }
  }</t>
  </si>
  <si>
    <t>{
      "success": false,
      "status": "failed",
      "source": "fortra-workday-sapi",
      "message": "Validation error occurred. Element Content 'Customer_Contract_Type_Reference' is required, on internal element 'Customer Contract Data'",
      "statusCode": -1,
      "errorMessage": "WORKDAY:VALIDATION_ERROR",
      "errorDescription": "Validation errors occurred. See 'validationErrors' field for more information.",
      "eventId": "367e2370-1807-11f1-94a5-a2576c789ea8"
    }</t>
  </si>
  <si>
    <t>Customer_Contract_Type_Reference =Workday_Contract_Type__c=Master_Contract</t>
  </si>
  <si>
    <t>801WC00000bi6pDYAQ</t>
  </si>
  <si>
    <t>{
      "sfContractId": "801WC00000bi6pDYAQ",
      "sfAccountId": "001WC00000WizhMYAR",
      "fortraSfdcExternalId": "801WC00000bi6pDYAQ",
      "orderNumber": "00000314",
      "name": "Q-Integration Testing 2 - 3.4.26-2026-03-04",
      "opportunityId": "006WC00000MmlxrYAB",
      "totalAmount": 3675,
      "currencyIsoCode": "USD",
      "contractReferenceId": "801WC00000bi6pDYAQ",
      "contractStatus": "Draft",
      "companyReference": "COM000",
      "currencyID": "USD",
      "shipToCustomerID": "123837",
      "soldToCustomerID": "123837",
      "billToCustomerID": "123837",
      "contractEffectiveDate": "2026-03-04",
      "salespersonReference": "005a500001eZ8nxAAC",
      "currentContractAmount": 3675,
      "contractLineData": [
        {
          "contractLineReference": "802WC00000JxptBYAR",
          "lineNumber": 1,
          "quantity": 1,
          "unitCost": 3675,
          "shipToCustomerID": "123837"
        }
      ]
    }
  }</t>
  </si>
  <si>
    <t>{
      "success": false,
      "status": "failed",
      "source": "fortra-workday-sapi",
      "message": "Validation error occurred. Element Content 'Customer_Contract_Type_Reference' is required, on internal element 'Customer Contract Data'",
      "statusCode": -1,
      "errorMessage": "WORKDAY:VALIDATION_ERROR",
      "errorDescription": "Validation errors occurred. See 'validationErrors' field for more information.",
      "eventId": "7c9abf30-1807-11f1-94a5-a2576c789ea8"
    }</t>
  </si>
  <si>
    <t>801WC00000bhnwFYAQ</t>
  </si>
  <si>
    <t>{
      "sfContractId": "801WC00000bhnwFYAQ",
      "sfAccountId": "001WC00000WizhMYAR",
      "fortraSfdcExternalId": "801WC00000bhnwFYAQ",
      "orderNumber": "00000315",
      "name": "Q-Integration Testing 3 - 3.4.26-2026-03-04",
      "opportunityId": "006WC00000MmZ6sYAF",
      "totalAmount": 3675,
      "currencyIsoCode": "USD",
      "contractReferenceId": "801WC00000bhnwFYAQ",
      "contractStatus": "Draft",
      "companyReference": "COM000",
      "currencyID": "USD",
      "shipToCustomerID": "123837",
      "soldToCustomerID": "123837",
      "billToCustomerID": "123837",
      "contractEffectiveDate": "2026-03-04",
      "salespersonReference": "005a500001eZ8nxAAC",
      "currentContractAmount": 3675,
      "contractLineData": [
        {
          "contractLineReference": "802WC00000Jxpy1YAB",
          "lineNumber": 1,
          "quantity": 1,
          "unitCost": 3675,
          "shipToCustomerID": "123837"
        }
      ]
    }
  }</t>
  </si>
  <si>
    <t>{
      "success": false,
      "status": "failed",
      "source": "fortra-workday-sapi",
      "message": "Validation error occurred. Element Content 'Customer_Contract_Type_Reference' is required, on internal element 'Customer Contract Data'",
      "statusCode": -1,
      "errorMessage": "WORKDAY:VALIDATION_ERROR",
      "errorDescription": "Validation errors occurred. See 'validationErrors' field for more information.",
      "eventId": "37525170-1809-11f1-94a5-a2576c789ea8"
    }</t>
  </si>
  <si>
    <t>{
      "sfContractId": "801WC00000bhnwFYAQ",
      "sfAccountId": "001WC00000WizhMYAR",
      "fortraSfdcExternalId": "801WC00000bhnwFYAQ",
      "orderNumber": "00000315",
      "name": "Q-Integration Testing 3 - 3.4.26-2026-03-04",
      "opportunityId": "006WC00000MmZ6sYAF",
      "totalAmount": 3675,
      "currencyIsoCode": "USD",
      "contractReferenceId": "801WC00000bhnwFYAQ",
      "contractStatus": "Draft",
      "companyReference": "COM000",
      "currencyID": "USD",
      "shipToCustomerID": "123837",
      "soldToCustomerID": "123837",
      "billToCustomerID": "123837",
      "customerContractType": "Master_Contract",
      "contractEffectiveDate": "2026-03-04",
      "salespersonReference": "005a500001eZ8nxAAC",
      "currentContractAmount": 3675,
      "contractLineData": [
        {
          "contractLineReference": "802WC00000Jxpy1YAB",
          "lineNumber": 1,
          "quantity": 1,
          "unitCost": 3675,
          "shipToCustomerID": "123837"
        }
      ]
    }
  }</t>
  </si>
  <si>
    <t>{
    "responsePayload": {
      "success": false,
      "status": "failed",
      "source": "fortra-workday-sapi",
      "message": "Validation error occurred. Element Content 'Contract_Line_Type_Reference' is required, on internal element 'Customer Contract Line Data'",
      "statusCode": -1,
      "errorMessage": "WORKDAY:VALIDATION_ERROR",
      "errorDescription": "Validation errors occurred. See 'validationErrors' field for more information.",
      "eventId": "8a07d7c0-180c-11f1-94a5-a2576c789ea8"
    },</t>
  </si>
  <si>
    <t>Workday_Contract_Line_Type__c= [FIXED AMOUNT, PREPAID, USAGE BASED] -- On Order Item</t>
  </si>
  <si>
    <t>{
      "sfContractId": "801WC00000bhnwFYAQ",
      "sfAccountId": "001WC00000WizhMYAR",
      "fortraSfdcExternalId": "801WC00000bhnwFYAQ",
      "orderNumber": "00000315",
      "name": "Q-Integration Testing 3 - 3.4.26-2026-03-04",
      "opportunityId": "006WC00000MmZ6sYAF",
      "totalAmount": 3675,
      "currencyIsoCode": "USD",
      "contractReferenceId": "801WC00000bhnwFYAQ",
      "contractStatus": "Draft",
      "companyReference": "COM000",
      "currencyID": "USD",
      "shipToCustomerID": "123837",
      "soldToCustomerID": "123837",
      "billToCustomerID": "123837",
      "customerContractType": "Master_Contract",
      "contractEffectiveDate": "2026-03-04",
      "salespersonReference": "005a500001eZ8nxAAC",
      "currentContractAmount": 3675,
      "contractLineData": [
        {
          "contractLineReference": "802WC00000Jxpy1YAB",
          "lineNumber": 1,
          "contractLineTypeID": "FIXED AMOUNT",
          "quantity": 1,
          "unitCost": 3675,
          "shipToCustomerID": "123837"
        }
      ]
    }
  }</t>
  </si>
  <si>
    <t>{
      "success": false,
      "status": "failed",
      "source": "fortra-workday-sapi",
      "message": "Validation error occurred. Please specify an Item or a Spend Category.",
      "statusCode": -1,
      "errorMessage": "WORKDAY:VALIDATION_ERROR",
      "errorDescription": "Validation errors occurred. See 'validationErrors' field for more information.",
      "eventId": "692f7fe0-1810-11f1-94a5-a2576c789ea8"
    }</t>
  </si>
  <si>
    <t>Sales Item Object</t>
  </si>
  <si>
    <t>Reference ID</t>
  </si>
  <si>
    <t>{
      "sfContractId": "801WC00000bhnwFYAQ",
      "sfAccountId": "001WC00000WizhMYAR",
      "fortraSfdcExternalId": "801WC00000bhnwFYAQ",
      "orderNumber": "00000315",
      "name": "Q-Integration Testing 3 - 3.4.26-2026-03-04",
      "opportunityId": "006WC00000MmZ6sYAF",
      "totalAmount": 3675,
      "currencyIsoCode": "USD",
      "contractReferenceId": "801WC00000bhnwFYAQ",
      "contractStatus": "Draft",
      "companyReference": "COM000",
      "currencyID": "USD",
      "shipToCustomerID": "123837",
      "soldToCustomerID": "123837",
      "billToCustomerID": "123837",
      "customerContractType": "Master_Contract",
      "contractEffectiveDate": "2026-03-04",
      "salespersonReference": "005a500001eZ8nxAAC",
      "currentContractAmount": 3675,
      "contractLineData": [
        {
          "contractLineReference": "802WC00000Jxpy1YAB",
          "lineNumber": 1,
          "contractLineTypeID": "FIXED AMOUNT",
          "salesItemID": "DM-WCU-NRPS-5250PE",
          "quantity": 1,
          "unitCost": 3675,
          "shipToCustomerID": "123837"
        }
      ]
    }
  }</t>
  </si>
  <si>
    <t>{
      "status": "success",
      "message": "Contract saved successfully",
      "data": {
        "workdayId": "30119d4308dd10016b12947db0980000",
        "contractRefId": "801WC00000bhnwFYAQ",
        "contractId": "00000315",
        "contractLineReference": [
          {
            "contractLineReferenceId": "802WC00000Jxpy1YAB"
          }
        ]
      }
    }</t>
  </si>
  <si>
    <t>24 X 7 X 365 Monitoring - Services</t>
  </si>
  <si>
    <t>VM-DDL-NRSU-2X7X3M</t>
  </si>
  <si>
    <t>{
      "sfContractId": "801WC00000bi6pDYAQ",
      "sfAccountId": "001WC00000WizhMYAR",
      "fortraSfdcExternalId": "801WC00000bi6pDYAQ",
      "orderNumber": "00000314",
      "name": "Q-Integration Testing 2 - 3.4.26-2026-03-04",
      "opportunityId": "006WC00000MmlxrYAB",
      "totalAmount": 3675,
      "currencyIsoCode": "USD",
      "contractReferenceId": "801WC00000bi6pDYAQ",
      "contractStatus": "Draft",
      "companyReference": "COM000",
      "currencyID": "USD",
      "shipToCustomerID": "123837",
      "soldToCustomerID": "123837",
      "billToCustomerID": "123837",
      "customerContractType": "Master_Contract",
      "contractEffectiveDate": "2026-03-04",
      "salespersonReference": "005a500001eZ8nxAAC",
      "currentContractAmount": 3675,
      "contractLineData": [
        {
          "contractLineReference": "802WC00000JxptBYAR",
          "lineNumber": 1,
          "contractLineTypeID": "FIXED AMOUNT",
          "salesItemID": "DM-WCU-NRPS-5250PE",
          "quantity": 1,
          "unitCost": 3675,
          "shipToCustomerID": "123837"
        }
      ]
    }
  }</t>
  </si>
  <si>
    <t>{
      "status": "success",
      "message": "Contract saved successfully",
      "data": {
        "workdayId": "30119d4308dd10016fd6e48b63c40000",
        "contractRefId": "801WC00000bi6pDYAQ",
        "contractId": "00000314",
        "contractLineReference": [
          {
            "contractLineReferenceId": "802WC00000JxptBYAR"
          }
        ]
      }
    }</t>
  </si>
  <si>
    <t>5250 Integrator - New Maintenance</t>
  </si>
  <si>
    <t>DM-WCU-RNM-5250NE</t>
  </si>
  <si>
    <t>5250 Integrator - Perpetual</t>
  </si>
  <si>
    <t>DM-WCU-NRPS-5250PE</t>
  </si>
  <si>
    <t>5250 Integrator - Renewal Maintenance</t>
  </si>
  <si>
    <t>DM-WCU-RRM-5250RE</t>
  </si>
  <si>
    <t>5250 Integrator - Subscription</t>
  </si>
  <si>
    <t>DM-WCU-RSS-5250SU</t>
  </si>
  <si>
    <t>5250 Integrator - Subscription_LIC</t>
  </si>
  <si>
    <t>DM-WCU-RSS-5250SU_LIC</t>
  </si>
  <si>
    <t>5250 Integrator - Subscription_MAINT</t>
  </si>
  <si>
    <t>DM-WCU-RSS-5250SU_MAINT</t>
  </si>
  <si>
    <t>A la Carte Menu and Security System - New Maintenance</t>
  </si>
  <si>
    <t>SM-SYM-RNM-ALCMNE</t>
  </si>
  <si>
    <t>A la Carte Menu and Security System - Perpetual</t>
  </si>
  <si>
    <t>SM-SYM-NRPS-ALCMPE</t>
  </si>
  <si>
    <t>A la Carte Menu and Security System - Renewal Maintenance</t>
  </si>
  <si>
    <t>SM-SYM-RRM-ALCMRE</t>
  </si>
  <si>
    <t>Abstract - New Maintenance</t>
  </si>
  <si>
    <t>BI-ABS-RNM-ABSTNE</t>
  </si>
  <si>
    <t>Abstract - Perpetual</t>
  </si>
  <si>
    <t>BI-ABS-NRPS-ABSTPE</t>
  </si>
  <si>
    <t>Abstract - Renewal Maintenance</t>
  </si>
  <si>
    <t>BI-ABS-RRM-ABSTRE</t>
  </si>
  <si>
    <t>Abstract - Subscription</t>
  </si>
  <si>
    <t>BI-ABS-RSS-ABSTSU</t>
  </si>
  <si>
    <t>Abstract - Subscription_LIC</t>
  </si>
  <si>
    <t>BI-ABS-RSS-ABSTSU_LIC</t>
  </si>
  <si>
    <t>Abstract - Subscription_MAINT</t>
  </si>
  <si>
    <t>BI-ABS-RSS-ABSTSU_MAINT</t>
  </si>
  <si>
    <t>Accelerated - Services</t>
  </si>
  <si>
    <t>GS-GSE-NRST-ACCELE</t>
  </si>
  <si>
    <t>Account ID</t>
  </si>
  <si>
    <t>001WC00000WizhMYAR</t>
  </si>
  <si>
    <t>{
    "sfAccountId": "001WC00000WizhMYAR",
    "customerReferenceId": "117688935",
    "customerName": "Academy Sports &amp; Outdoors",
    "customerCategory": "Customer",
    "dunsNumber": "117688935",
    "domesticsDunsNumber": "117688935",
    "businessEntityName": "Academy Sports &amp; Outdoors",
    "invoiceDeliveryType": "Email",
    "addressData": [
      {
        "addressLines": [
          "6160 Golden Hills Dr"
        ],
        "city": "Minneapolis",
        "primary": true,
        "state": "MN",
        "postalCode": "55416",
        "country": "US",
        "usageType": "Business",
        "locationType": "Shipping",
        "addressReference": "001WC00000WIZHMYAR_6160GOLDENHILLSDR_MINNEAPOLIS_MN_55416_US"
      }
    ]
  }</t>
  </si>
  <si>
    <t>{
    "status": "success",
    "statusCode": 0,
    "message": "Operation successful",
    "data": {
      "workdayId": "30119d4308dd10015d07b4aef0cc0000",
      "customerId": "123837",
      "refId": "117688935"
    }
  }</t>
  </si>
  <si>
    <t>{
      "sfAccountId": "001WC00000WizhMYAR",
      "customerReferenceId": "117688935",
      "customerId": "123837",
      "customerName": "Academy Sports &amp; Outdoors",
      "customerCategory": "Customer",
      "dunsNumber": "117688935",
      "domesticsDunsNumber": "117688935",
      "businessEntityName": "Academy Sports &amp; Outdoors",
      "invoiceDeliveryType": "Email",
      "addressData": [
        {
          "addressLines": [
            "6160 Golden Hills Dr"
          ],
          "city": "Minneapolis",
          "primary": true,
          "state": "MN",
          "postalCode": "55416",
          "country": "US",
          "usageType": "Business",
          "locationType": "Shipping",
          "addressReference": "001WC00000WIZHMYAR_6160GOLDENHILLSDR_MINNEAPOLIS_MN_55416_US"
        }
      ]
    }
  }</t>
  </si>
  <si>
    <t>{
        "workdayId": "30119d4308dd10015d07b4aef0cc0000",
        "customerId": "123837",
        "refId": "117688935"
      }</t>
  </si>
  <si>
    <t>Contact Id</t>
  </si>
  <si>
    <t>003WC00000ktm6MYAQ</t>
  </si>
  <si>
    <t>{
    "sfContactId": "003WC00000ktm6MYAQ",
    "contactReferenceId": "003WC00000ktm6MYAQ",
    "businessContactID": "integration.test@fortra.com",
    "customerId": "123837",
    "accountExternalId": "117688935",
    "sfAccountId": "001WC00000WizhMYAR",
    "businessEntityContactPersonalData": {
      "nameData": {
        "email": "integration.test@fortra.com",
        "nameDetailData": {
          "countryReference": "US",
          "firstName": "Integration",
          "email": "integration.test@fortra.com",
          "lastName": "Test Contact"
        }
      },
      "contactData": {
        "phoneData": [
          {
            "countryISOCode": "USA",
            "internationPhoneCode": "1",
            "phoneNumber": "706-555-0125",
            "phoneDeviceTypeID": "Mobile",
            "usageData": {
              "primary": false,
              "public": true,
              "communicationUsageTypeID": "Work"
            }
          },
          {
            "countryISOCode": "USA",
            "internationPhoneCode": "1",
            "phoneNumber": "706-555-0125",
            "phoneDeviceTypeID": "Landline",
            "usageData": {
              "primary": true,
              "public": true,
              "communicationUsageTypeID": "Work"
            }
          }
        ]
      }
    }
  }
}</t>
  </si>
  <si>
    <t>{
    "status": "success",
    "message": "Contact saved successfully",
    "data": {
      "workdayId": "a2522a404f101001033de22604e90000",
      "refId": "integration.test@fortra.com",
      "contactId": "1403$2139"
    }
  }</t>
  </si>
  <si>
    <r>
      <rPr/>
      <t xml:space="preserve">Order 1: </t>
    </r>
    <r>
      <rPr>
        <color rgb="FF1155CC"/>
        <u/>
      </rPr>
      <t>https://fortra--uat.sandbox.lightning.force.com/lightning/r/Order/801WC00000biEOXYA2/view</t>
    </r>
  </si>
  <si>
    <t>Workday Field</t>
  </si>
  <si>
    <t>Workday_ID</t>
  </si>
  <si>
    <r>
      <rPr/>
      <t xml:space="preserve">Order 2: </t>
    </r>
    <r>
      <rPr>
        <color rgb="FF1155CC"/>
        <u/>
      </rPr>
      <t>https://fortra--uat.sandbox.lightning.force.com/lightning/r/Order/801WC00000bi6pDYAQ/view</t>
    </r>
  </si>
  <si>
    <t>Customer_Contract_ID</t>
  </si>
  <si>
    <t>Sync_Status</t>
  </si>
  <si>
    <r>
      <rPr/>
      <t xml:space="preserve">Order 3: </t>
    </r>
    <r>
      <rPr>
        <color rgb="FF1155CC"/>
        <u/>
      </rPr>
      <t>https://fortra--uat.sandbox.lightning.force.com/lightning/r/Order/801WC00000bhnwFYAQ/view</t>
    </r>
  </si>
  <si>
    <t>Sync_Message</t>
  </si>
  <si>
    <t>Sync_Payload</t>
  </si>
  <si>
    <t>Sync_CorrelationId</t>
  </si>
  <si>
    <t>Company_Reference/Company_Reference_ID</t>
  </si>
  <si>
    <t>Currency_Reference</t>
  </si>
  <si>
    <t>NA- Used for joining to Account</t>
  </si>
  <si>
    <t>Sold_To_Customer_Reference/Customer_ID</t>
  </si>
  <si>
    <t>Sold_To_Address_Reference/Address_ID</t>
  </si>
  <si>
    <t>Workday_Sold_To_Address__c DELETED</t>
  </si>
  <si>
    <t>Ship_To_Customer_Reference/Customer_ID</t>
  </si>
  <si>
    <t>Ship_To_Address_Reference/Address_ID</t>
  </si>
  <si>
    <t>Bill_To_Customer_Reference/Customer_ID</t>
  </si>
  <si>
    <t>Bill_To_Address_Reference/Address_ID</t>
  </si>
  <si>
    <t>Customer_Contract_Type_Reference /Contract_Type_ID</t>
  </si>
  <si>
    <t>Payment_Terms_Reference</t>
  </si>
  <si>
    <t>Version</t>
  </si>
  <si>
    <t>LocationType hard code to Billing,Shipping</t>
  </si>
  <si>
    <t>Order Line Item(Contract Line Item)</t>
  </si>
  <si>
    <t>SPLIT LOGIC</t>
  </si>
  <si>
    <t>Receivable_Contract_Line_Reference_ID</t>
  </si>
  <si>
    <t>Line_Number</t>
  </si>
  <si>
    <t>Contract_Line_Type_Reference</t>
  </si>
  <si>
    <t>Sales_Item_Reference</t>
  </si>
  <si>
    <t>Revenue_Category_Reference</t>
  </si>
  <si>
    <t>Unit_Cost</t>
  </si>
  <si>
    <t>Customer_Contract_Line_Start_Date</t>
  </si>
  <si>
    <t>Customer_Contract_Line_End_Date</t>
  </si>
  <si>
    <t>Extended_Amount</t>
  </si>
  <si>
    <t>Billing_Schedule_From_Date</t>
  </si>
  <si>
    <t>Billing_Schedule_To_Date</t>
  </si>
  <si>
    <t>Unit_of_Measure_Reference</t>
  </si>
  <si>
    <t>Line_Item_Description_Override</t>
  </si>
  <si>
    <t>CREATE A NEW LINE FOR SPLIT</t>
  </si>
  <si>
    <t>Prepaid line mapping</t>
  </si>
  <si>
    <t>PURCHASE ORDER URL (name TBD) link to the file in salesforce</t>
  </si>
  <si>
    <t>Billing Frequency (Billing Template Reference ID)</t>
  </si>
  <si>
    <t>Revenue Category</t>
  </si>
  <si>
    <t>Multi Year vs. Paid Up front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</si>
</sst>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7">
    <font>
      <sz val="10.0"/>
      <color rgb="FF000000"/>
      <name val="Arial"/>
      <scheme val="minor"/>
    </font>
    <font>
      <b/>
      <sz val="14.0"/>
      <color rgb="FFFFFFFF"/>
      <name val="Calibri"/>
    </font>
    <font>
      <u/>
      <color rgb="FF1155CC"/>
      <name val="System-ui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color theme="1"/>
      <name val="Arial"/>
    </font>
    <font>
      <sz val="11.0"/>
      <color rgb="FFFFFFFF"/>
      <name val="Calibri"/>
    </font>
    <font>
      <b/>
      <color theme="1"/>
      <name val="Arial"/>
      <scheme val="minor"/>
    </font>
    <font>
      <u/>
      <color rgb="FF1155CC"/>
      <name val="Arial"/>
    </font>
    <font>
      <u/>
      <color rgb="FF0000FF"/>
    </font>
    <font>
      <u/>
      <color rgb="FF0000FF"/>
      <name val="System-ui"/>
    </font>
    <font>
      <sz val="6.0"/>
      <color theme="1"/>
      <name val="Arial"/>
      <scheme val="minor"/>
    </font>
    <font/>
    <font>
      <color rgb="FFFF0000"/>
      <name val="Arial"/>
      <scheme val="minor"/>
    </font>
    <font>
      <sz val="9.0"/>
      <color rgb="FF0451A5"/>
      <name val="IBMPlexMono"/>
    </font>
    <font>
      <color rgb="FF000000"/>
      <name val="&quot;Consolas&quot;"/>
    </font>
    <font>
      <sz val="10.0"/>
      <color rgb="FF000000"/>
      <name val="Arial"/>
    </font>
    <font>
      <color rgb="FFFFFFFF"/>
      <name val="Arial"/>
      <scheme val="minor"/>
    </font>
    <font>
      <sz val="9.0"/>
      <color rgb="FF0451A5"/>
      <name val="Arial"/>
    </font>
    <font>
      <b/>
      <sz val="11.0"/>
      <color rgb="FF000000"/>
      <name val="Calibri"/>
    </font>
    <font>
      <color rgb="FF000000"/>
      <name val="Arial"/>
    </font>
    <font>
      <sz val="11.0"/>
      <color rgb="FF242424"/>
      <name val="Arial"/>
    </font>
    <font>
      <sz val="11.0"/>
      <color rgb="FF242424"/>
      <name val="&quot;Aptos Narrow&quot;"/>
    </font>
    <font>
      <sz val="9.0"/>
      <color rgb="FF000000"/>
      <name val="Arial"/>
    </font>
    <font>
      <u/>
      <color rgb="FF0000FF"/>
    </font>
    <font>
      <strike/>
      <color rgb="FF000000"/>
      <name val="Arial"/>
    </font>
    <font>
      <color rgb="FF1F1F1F"/>
      <name val="Arial"/>
    </font>
    <font>
      <sz val="11.0"/>
      <color rgb="FF000000"/>
      <name val="Arial"/>
    </font>
    <font>
      <u/>
      <color rgb="FF0000FF"/>
    </font>
    <font>
      <b/>
      <sz val="11.0"/>
      <color rgb="FF222222"/>
      <name val="Calibri"/>
    </font>
    <font>
      <sz val="11.0"/>
      <color rgb="FF222222"/>
      <name val="Calibri"/>
    </font>
    <font>
      <color rgb="FF6B6C6D"/>
      <name val="&quot;Source Code Pro&quot;"/>
    </font>
    <font>
      <u/>
      <color rgb="FF0000FF"/>
    </font>
    <font>
      <b/>
      <sz val="11.0"/>
      <color rgb="FF000000"/>
      <name val="Arial"/>
    </font>
    <font>
      <b/>
      <color rgb="FF1F1F1F"/>
      <name val="&quot;Google Sans&quot;"/>
    </font>
    <font>
      <color rgb="FF1F1F1F"/>
      <name val="&quot;Google Sans&quot;"/>
    </font>
  </fonts>
  <fills count="18">
    <fill>
      <patternFill patternType="none"/>
    </fill>
    <fill>
      <patternFill patternType="lightGray"/>
    </fill>
    <fill>
      <patternFill patternType="solid">
        <fgColor rgb="FF0070D2"/>
        <bgColor rgb="FF0070D2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  <fill>
      <patternFill patternType="solid">
        <fgColor rgb="FFFCFCFC"/>
        <bgColor rgb="FFFCFCFC"/>
      </patternFill>
    </fill>
    <fill>
      <patternFill patternType="solid">
        <fgColor rgb="FF4A86E8"/>
        <bgColor rgb="FF4A86E8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</fills>
  <borders count="12">
    <border/>
    <border>
      <left style="thick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1" fillId="2" fontId="1" numFmtId="0" xfId="0" applyAlignment="1" applyBorder="1" applyFont="1">
      <alignment horizontal="center" readingOrder="0" shrinkToFit="0" wrapText="1"/>
    </xf>
    <xf borderId="1" fillId="2" fontId="1" numFmtId="0" xfId="0" applyAlignment="1" applyBorder="1" applyFont="1">
      <alignment horizontal="center" readingOrder="0" shrinkToFit="0" vertical="bottom" wrapText="1"/>
    </xf>
    <xf borderId="2" fillId="2" fontId="1" numFmtId="0" xfId="0" applyAlignment="1" applyBorder="1" applyFont="1">
      <alignment horizontal="center" readingOrder="0" shrinkToFit="0" wrapText="1"/>
    </xf>
    <xf borderId="3" fillId="2" fontId="1" numFmtId="0" xfId="0" applyAlignment="1" applyBorder="1" applyFont="1">
      <alignment horizontal="center" readingOrder="0" shrinkToFit="0" wrapText="1"/>
    </xf>
    <xf borderId="4" fillId="2" fontId="1" numFmtId="0" xfId="0" applyAlignment="1" applyBorder="1" applyFont="1">
      <alignment horizontal="center" readingOrder="0" shrinkToFit="0" wrapText="1"/>
    </xf>
    <xf borderId="3" fillId="2" fontId="1" numFmtId="0" xfId="0" applyAlignment="1" applyBorder="1" applyFont="1">
      <alignment horizontal="center" readingOrder="0" shrinkToFit="0" vertical="bottom" wrapText="1"/>
    </xf>
    <xf borderId="4" fillId="2" fontId="1" numFmtId="0" xfId="0" applyAlignment="1" applyBorder="1" applyFont="1">
      <alignment horizontal="center" shrinkToFit="0" vertical="bottom" wrapText="1"/>
    </xf>
    <xf borderId="2" fillId="2" fontId="1" numFmtId="0" xfId="0" applyAlignment="1" applyBorder="1" applyFont="1">
      <alignment horizontal="center" shrinkToFit="0" vertical="bottom" wrapText="1"/>
    </xf>
    <xf borderId="3" fillId="2" fontId="1" numFmtId="0" xfId="0" applyAlignment="1" applyBorder="1" applyFont="1">
      <alignment horizontal="center" shrinkToFit="0" vertical="bottom" wrapText="1"/>
    </xf>
    <xf borderId="5" fillId="2" fontId="1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2" fillId="3" fontId="3" numFmtId="0" xfId="0" applyAlignment="1" applyBorder="1" applyFill="1" applyFont="1">
      <alignment horizontal="right" readingOrder="0" shrinkToFit="0" vertical="bottom" wrapText="1"/>
    </xf>
    <xf borderId="2" fillId="0" fontId="4" numFmtId="0" xfId="0" applyAlignment="1" applyBorder="1" applyFont="1">
      <alignment shrinkToFit="0" wrapText="1"/>
    </xf>
    <xf borderId="2" fillId="0" fontId="5" numFmtId="0" xfId="0" applyAlignment="1" applyBorder="1" applyFont="1">
      <alignment readingOrder="0"/>
    </xf>
    <xf borderId="3" fillId="0" fontId="5" numFmtId="0" xfId="0" applyAlignment="1" applyBorder="1" applyFont="1">
      <alignment readingOrder="0"/>
    </xf>
    <xf borderId="4" fillId="0" fontId="5" numFmtId="49" xfId="0" applyAlignment="1" applyBorder="1" applyFont="1" applyNumberFormat="1">
      <alignment readingOrder="0"/>
    </xf>
    <xf borderId="2" fillId="0" fontId="5" numFmtId="49" xfId="0" applyAlignment="1" applyBorder="1" applyFont="1" applyNumberFormat="1">
      <alignment readingOrder="0"/>
    </xf>
    <xf borderId="3" fillId="0" fontId="6" numFmtId="0" xfId="0" applyAlignment="1" applyBorder="1" applyFont="1">
      <alignment readingOrder="0" vertical="bottom"/>
    </xf>
    <xf borderId="2" fillId="0" fontId="6" numFmtId="49" xfId="0" applyAlignment="1" applyBorder="1" applyFont="1" applyNumberFormat="1">
      <alignment readingOrder="0" vertical="bottom"/>
    </xf>
    <xf borderId="3" fillId="0" fontId="6" numFmtId="49" xfId="0" applyAlignment="1" applyBorder="1" applyFont="1" applyNumberFormat="1">
      <alignment readingOrder="0" vertical="bottom"/>
    </xf>
    <xf borderId="3" fillId="0" fontId="6" numFmtId="0" xfId="0" applyAlignment="1" applyBorder="1" applyFont="1">
      <alignment readingOrder="0" vertical="bottom"/>
    </xf>
    <xf borderId="4" fillId="0" fontId="5" numFmtId="49" xfId="0" applyBorder="1" applyFont="1" applyNumberFormat="1"/>
    <xf borderId="2" fillId="0" fontId="5" numFmtId="49" xfId="0" applyBorder="1" applyFont="1" applyNumberFormat="1"/>
    <xf borderId="2" fillId="0" fontId="6" numFmtId="49" xfId="0" applyAlignment="1" applyBorder="1" applyFont="1" applyNumberFormat="1">
      <alignment vertical="bottom"/>
    </xf>
    <xf borderId="2" fillId="0" fontId="4" numFmtId="0" xfId="0" applyAlignment="1" applyBorder="1" applyFont="1">
      <alignment shrinkToFit="0" vertical="bottom" wrapText="1"/>
    </xf>
    <xf borderId="2" fillId="0" fontId="4" numFmtId="0" xfId="0" applyAlignment="1" applyBorder="1" applyFont="1">
      <alignment readingOrder="0" vertical="bottom"/>
    </xf>
    <xf borderId="2" fillId="0" fontId="6" numFmtId="0" xfId="0" applyAlignment="1" applyBorder="1" applyFont="1">
      <alignment vertical="bottom"/>
    </xf>
    <xf borderId="0" fillId="3" fontId="3" numFmtId="0" xfId="0" applyAlignment="1" applyFont="1">
      <alignment horizontal="right" readingOrder="0" shrinkToFit="0" wrapText="1"/>
    </xf>
    <xf borderId="2" fillId="3" fontId="3" numFmtId="0" xfId="0" applyAlignment="1" applyBorder="1" applyFont="1">
      <alignment horizontal="right" readingOrder="0" shrinkToFit="0" wrapText="1"/>
    </xf>
    <xf borderId="2" fillId="0" fontId="4" numFmtId="0" xfId="0" applyAlignment="1" applyBorder="1" applyFont="1">
      <alignment vertical="bottom"/>
    </xf>
    <xf borderId="2" fillId="0" fontId="7" numFmtId="0" xfId="0" applyAlignment="1" applyBorder="1" applyFont="1">
      <alignment vertical="bottom"/>
    </xf>
    <xf borderId="2" fillId="0" fontId="4" numFmtId="0" xfId="0" applyAlignment="1" applyBorder="1" applyFont="1">
      <alignment readingOrder="0" shrinkToFit="0" wrapText="1"/>
    </xf>
    <xf borderId="2" fillId="0" fontId="5" numFmtId="0" xfId="0" applyBorder="1" applyFont="1"/>
    <xf borderId="3" fillId="0" fontId="6" numFmtId="49" xfId="0" applyAlignment="1" applyBorder="1" applyFont="1" applyNumberFormat="1">
      <alignment vertical="bottom"/>
    </xf>
    <xf borderId="4" fillId="0" fontId="5" numFmtId="0" xfId="0" applyBorder="1" applyFont="1"/>
    <xf borderId="5" fillId="0" fontId="6" numFmtId="0" xfId="0" applyAlignment="1" applyBorder="1" applyFont="1">
      <alignment vertical="bottom"/>
    </xf>
    <xf borderId="0" fillId="0" fontId="8" numFmtId="0" xfId="0" applyAlignment="1" applyFont="1">
      <alignment horizontal="right" readingOrder="0"/>
    </xf>
    <xf borderId="2" fillId="0" fontId="8" numFmtId="0" xfId="0" applyAlignment="1" applyBorder="1" applyFont="1">
      <alignment horizontal="right" readingOrder="0"/>
    </xf>
    <xf borderId="4" fillId="0" fontId="5" numFmtId="0" xfId="0" applyAlignment="1" applyBorder="1" applyFont="1">
      <alignment readingOrder="0"/>
    </xf>
    <xf borderId="0" fillId="0" fontId="9" numFmtId="0" xfId="0" applyAlignment="1" applyFont="1">
      <alignment vertical="bottom"/>
    </xf>
    <xf borderId="0" fillId="0" fontId="10" numFmtId="0" xfId="0" applyAlignment="1" applyFont="1">
      <alignment readingOrder="0"/>
    </xf>
    <xf borderId="0" fillId="0" fontId="11" numFmtId="0" xfId="0" applyAlignment="1" applyFont="1">
      <alignment horizontal="left" readingOrder="0" shrinkToFit="0" wrapText="0"/>
    </xf>
    <xf borderId="3" fillId="0" fontId="6" numFmtId="0" xfId="0" applyAlignment="1" applyBorder="1" applyFont="1">
      <alignment vertical="bottom"/>
    </xf>
    <xf borderId="0" fillId="4" fontId="8" numFmtId="0" xfId="0" applyAlignment="1" applyFill="1" applyFont="1">
      <alignment horizontal="right" readingOrder="0"/>
    </xf>
    <xf borderId="0" fillId="4" fontId="4" numFmtId="0" xfId="0" applyAlignment="1" applyFont="1">
      <alignment readingOrder="0" shrinkToFit="0" wrapText="1"/>
    </xf>
    <xf borderId="0" fillId="4" fontId="5" numFmtId="0" xfId="0" applyFont="1"/>
    <xf borderId="3" fillId="0" fontId="5" numFmtId="0" xfId="0" applyBorder="1" applyFont="1"/>
    <xf borderId="1" fillId="4" fontId="5" numFmtId="0" xfId="0" applyBorder="1" applyFont="1"/>
    <xf borderId="1" fillId="4" fontId="12" numFmtId="0" xfId="0" applyAlignment="1" applyBorder="1" applyFont="1">
      <alignment readingOrder="0"/>
    </xf>
    <xf borderId="2" fillId="4" fontId="5" numFmtId="0" xfId="0" applyAlignment="1" applyBorder="1" applyFont="1">
      <alignment readingOrder="0"/>
    </xf>
    <xf borderId="2" fillId="0" fontId="5" numFmtId="10" xfId="0" applyBorder="1" applyFont="1" applyNumberFormat="1"/>
    <xf borderId="0" fillId="0" fontId="5" numFmtId="10" xfId="0" applyFont="1" applyNumberFormat="1"/>
    <xf borderId="0" fillId="0" fontId="5" numFmtId="0" xfId="0" applyAlignment="1" applyFont="1">
      <alignment readingOrder="0"/>
    </xf>
    <xf borderId="1" fillId="0" fontId="13" numFmtId="0" xfId="0" applyBorder="1" applyFont="1"/>
    <xf borderId="2" fillId="0" fontId="5" numFmtId="4" xfId="0" applyBorder="1" applyFont="1" applyNumberFormat="1"/>
    <xf borderId="0" fillId="0" fontId="5" numFmtId="0" xfId="0" applyFont="1"/>
    <xf borderId="2" fillId="5" fontId="8" numFmtId="0" xfId="0" applyAlignment="1" applyBorder="1" applyFill="1" applyFont="1">
      <alignment horizontal="center" readingOrder="0"/>
    </xf>
    <xf borderId="2" fillId="5" fontId="8" numFmtId="0" xfId="0" applyAlignment="1" applyBorder="1" applyFont="1">
      <alignment readingOrder="0"/>
    </xf>
    <xf borderId="2" fillId="5" fontId="8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shrinkToFit="0" wrapText="1"/>
    </xf>
    <xf borderId="2" fillId="0" fontId="8" numFmtId="0" xfId="0" applyAlignment="1" applyBorder="1" applyFont="1">
      <alignment readingOrder="0"/>
    </xf>
    <xf borderId="2" fillId="0" fontId="5" numFmtId="0" xfId="0" applyAlignment="1" applyBorder="1" applyFont="1">
      <alignment horizontal="center" readingOrder="0"/>
    </xf>
    <xf borderId="2" fillId="0" fontId="5" numFmtId="0" xfId="0" applyAlignment="1" applyBorder="1" applyFont="1">
      <alignment shrinkToFit="0" wrapText="1"/>
    </xf>
    <xf borderId="2" fillId="0" fontId="5" numFmtId="0" xfId="0" applyAlignment="1" applyBorder="1" applyFont="1">
      <alignment readingOrder="0" shrinkToFit="0" wrapText="1"/>
    </xf>
    <xf borderId="2" fillId="0" fontId="5" numFmtId="0" xfId="0" applyAlignment="1" applyBorder="1" applyFont="1">
      <alignment horizontal="center"/>
    </xf>
    <xf borderId="2" fillId="0" fontId="5" numFmtId="0" xfId="0" applyAlignment="1" applyBorder="1" applyFont="1">
      <alignment horizontal="right" readingOrder="0"/>
    </xf>
    <xf borderId="2" fillId="0" fontId="14" numFmtId="0" xfId="0" applyAlignment="1" applyBorder="1" applyFont="1">
      <alignment readingOrder="0" shrinkToFit="0" wrapText="1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left" readingOrder="0"/>
    </xf>
    <xf borderId="0" fillId="3" fontId="15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horizontal="left" readingOrder="0"/>
    </xf>
    <xf borderId="0" fillId="3" fontId="16" numFmtId="0" xfId="0" applyAlignment="1" applyFont="1">
      <alignment readingOrder="0"/>
    </xf>
    <xf borderId="0" fillId="0" fontId="17" numFmtId="0" xfId="0" applyAlignment="1" applyFont="1">
      <alignment horizontal="left" shrinkToFit="0" vertical="top" wrapText="1"/>
    </xf>
    <xf borderId="0" fillId="0" fontId="5" numFmtId="0" xfId="0" applyAlignment="1" applyFont="1">
      <alignment vertical="center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horizontal="left" vertical="center"/>
    </xf>
    <xf borderId="0" fillId="3" fontId="18" numFmtId="0" xfId="0" applyFont="1"/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horizontal="left" readingOrder="0" vertical="center"/>
    </xf>
    <xf borderId="0" fillId="3" fontId="19" numFmtId="0" xfId="0" applyAlignment="1" applyFont="1">
      <alignment horizontal="left" readingOrder="0"/>
    </xf>
    <xf borderId="0" fillId="0" fontId="8" numFmtId="0" xfId="0" applyAlignment="1" applyFont="1">
      <alignment readingOrder="0" shrinkToFit="0" wrapText="1"/>
    </xf>
    <xf borderId="0" fillId="0" fontId="5" numFmtId="164" xfId="0" applyAlignment="1" applyFont="1" applyNumberFormat="1">
      <alignment readingOrder="0"/>
    </xf>
    <xf borderId="0" fillId="0" fontId="5" numFmtId="0" xfId="0" applyAlignment="1" applyFont="1">
      <alignment shrinkToFit="0" wrapText="1"/>
    </xf>
    <xf borderId="6" fillId="6" fontId="20" numFmtId="0" xfId="0" applyAlignment="1" applyBorder="1" applyFill="1" applyFont="1">
      <alignment readingOrder="0" shrinkToFit="0" vertical="bottom" wrapText="0"/>
    </xf>
    <xf borderId="0" fillId="0" fontId="8" numFmtId="0" xfId="0" applyFont="1"/>
    <xf borderId="0" fillId="7" fontId="6" numFmtId="0" xfId="0" applyAlignment="1" applyFill="1" applyFont="1">
      <alignment vertical="bottom"/>
    </xf>
    <xf borderId="0" fillId="3" fontId="21" numFmtId="0" xfId="0" applyAlignment="1" applyFont="1">
      <alignment readingOrder="0" shrinkToFit="0" vertical="bottom" wrapText="0"/>
    </xf>
    <xf borderId="0" fillId="5" fontId="21" numFmtId="0" xfId="0" applyAlignment="1" applyFont="1">
      <alignment readingOrder="0" shrinkToFit="0" vertical="bottom" wrapText="0"/>
    </xf>
    <xf borderId="0" fillId="8" fontId="6" numFmtId="0" xfId="0" applyAlignment="1" applyFill="1" applyFont="1">
      <alignment vertical="bottom"/>
    </xf>
    <xf borderId="0" fillId="3" fontId="22" numFmtId="0" xfId="0" applyAlignment="1" applyFont="1">
      <alignment horizontal="left" readingOrder="0"/>
    </xf>
    <xf borderId="0" fillId="3" fontId="23" numFmtId="0" xfId="0" applyAlignment="1" applyFont="1">
      <alignment horizontal="left" readingOrder="0"/>
    </xf>
    <xf borderId="0" fillId="9" fontId="6" numFmtId="0" xfId="0" applyAlignment="1" applyFill="1" applyFont="1">
      <alignment vertical="bottom"/>
    </xf>
    <xf borderId="0" fillId="10" fontId="6" numFmtId="0" xfId="0" applyAlignment="1" applyFill="1" applyFont="1">
      <alignment vertical="bottom"/>
    </xf>
    <xf borderId="0" fillId="11" fontId="5" numFmtId="0" xfId="0" applyAlignment="1" applyFill="1" applyFont="1">
      <alignment readingOrder="0"/>
    </xf>
    <xf borderId="0" fillId="11" fontId="6" numFmtId="0" xfId="0" applyAlignment="1" applyFont="1">
      <alignment vertical="bottom"/>
    </xf>
    <xf borderId="0" fillId="8" fontId="21" numFmtId="0" xfId="0" applyAlignment="1" applyFont="1">
      <alignment readingOrder="0" vertical="bottom"/>
    </xf>
    <xf borderId="0" fillId="0" fontId="21" numFmtId="0" xfId="0" applyAlignment="1" applyFont="1">
      <alignment readingOrder="0" shrinkToFit="0" vertical="bottom" wrapText="0"/>
    </xf>
    <xf borderId="0" fillId="8" fontId="24" numFmtId="0" xfId="0" applyAlignment="1" applyFont="1">
      <alignment readingOrder="0" shrinkToFit="0" vertical="bottom" wrapText="0"/>
    </xf>
    <xf borderId="0" fillId="8" fontId="21" numFmtId="0" xfId="0" applyAlignment="1" applyFont="1">
      <alignment readingOrder="0" shrinkToFit="0" vertical="bottom" wrapText="0"/>
    </xf>
    <xf borderId="0" fillId="7" fontId="21" numFmtId="0" xfId="0" applyAlignment="1" applyFont="1">
      <alignment readingOrder="0" shrinkToFit="0" vertical="bottom" wrapText="0"/>
    </xf>
    <xf borderId="0" fillId="0" fontId="25" numFmtId="0" xfId="0" applyAlignment="1" applyFont="1">
      <alignment readingOrder="0" shrinkToFit="0" wrapText="1"/>
    </xf>
    <xf borderId="0" fillId="3" fontId="21" numFmtId="0" xfId="0" applyAlignment="1" applyFont="1">
      <alignment shrinkToFit="0" vertical="bottom" wrapText="0"/>
    </xf>
    <xf borderId="0" fillId="10" fontId="26" numFmtId="0" xfId="0" applyAlignment="1" applyFont="1">
      <alignment readingOrder="0" shrinkToFit="0" vertical="bottom" wrapText="0"/>
    </xf>
    <xf borderId="0" fillId="12" fontId="21" numFmtId="0" xfId="0" applyAlignment="1" applyFill="1" applyFont="1">
      <alignment readingOrder="0" shrinkToFit="0" vertical="bottom" wrapText="0"/>
    </xf>
    <xf borderId="0" fillId="11" fontId="21" numFmtId="0" xfId="0" applyAlignment="1" applyFont="1">
      <alignment readingOrder="0" vertical="bottom"/>
    </xf>
    <xf borderId="0" fillId="0" fontId="21" numFmtId="0" xfId="0" applyAlignment="1" applyFont="1">
      <alignment shrinkToFit="0" vertical="bottom" wrapText="0"/>
    </xf>
    <xf borderId="0" fillId="13" fontId="21" numFmtId="0" xfId="0" applyAlignment="1" applyFill="1" applyFont="1">
      <alignment shrinkToFit="0" vertical="bottom" wrapText="0"/>
    </xf>
    <xf borderId="0" fillId="11" fontId="21" numFmtId="0" xfId="0" applyAlignment="1" applyFont="1">
      <alignment readingOrder="0" shrinkToFit="0" vertical="bottom" wrapText="0"/>
    </xf>
    <xf borderId="0" fillId="3" fontId="26" numFmtId="0" xfId="0" applyAlignment="1" applyFont="1">
      <alignment readingOrder="0" shrinkToFit="0" vertical="bottom" wrapText="0"/>
    </xf>
    <xf borderId="0" fillId="0" fontId="27" numFmtId="0" xfId="0" applyAlignment="1" applyFont="1">
      <alignment readingOrder="0" shrinkToFit="0" vertical="bottom" wrapText="0"/>
    </xf>
    <xf borderId="0" fillId="9" fontId="21" numFmtId="0" xfId="0" applyAlignment="1" applyFont="1">
      <alignment readingOrder="0" shrinkToFit="0" vertical="bottom" wrapText="0"/>
    </xf>
    <xf borderId="0" fillId="12" fontId="28" numFmtId="0" xfId="0" applyAlignment="1" applyFont="1">
      <alignment readingOrder="0" shrinkToFit="0" vertical="bottom" wrapText="0"/>
    </xf>
    <xf borderId="0" fillId="0" fontId="21" numFmtId="0" xfId="0" applyAlignment="1" applyFont="1">
      <alignment readingOrder="0" vertical="bottom"/>
    </xf>
    <xf borderId="0" fillId="0" fontId="26" numFmtId="0" xfId="0" applyAlignment="1" applyFont="1">
      <alignment readingOrder="0" vertical="bottom"/>
    </xf>
    <xf borderId="0" fillId="0" fontId="26" numFmtId="0" xfId="0" applyAlignment="1" applyFont="1">
      <alignment readingOrder="0" shrinkToFit="0" vertical="bottom" wrapText="0"/>
    </xf>
    <xf borderId="0" fillId="10" fontId="28" numFmtId="0" xfId="0" applyAlignment="1" applyFont="1">
      <alignment readingOrder="0" shrinkToFit="0" vertical="bottom" wrapText="0"/>
    </xf>
    <xf borderId="7" fillId="0" fontId="21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vertical="top"/>
    </xf>
    <xf borderId="0" fillId="0" fontId="5" numFmtId="0" xfId="0" applyAlignment="1" applyFont="1">
      <alignment readingOrder="0" shrinkToFit="0" vertical="top" wrapText="1"/>
    </xf>
    <xf borderId="0" fillId="0" fontId="29" numFmtId="0" xfId="0" applyAlignment="1" applyFont="1">
      <alignment readingOrder="0" shrinkToFit="0" vertical="top" wrapText="1"/>
    </xf>
    <xf borderId="2" fillId="3" fontId="30" numFmtId="0" xfId="0" applyAlignment="1" applyBorder="1" applyFont="1">
      <alignment horizontal="center" vertical="top"/>
    </xf>
    <xf borderId="6" fillId="3" fontId="30" numFmtId="0" xfId="0" applyAlignment="1" applyBorder="1" applyFont="1">
      <alignment horizontal="center" vertical="top"/>
    </xf>
    <xf borderId="8" fillId="3" fontId="31" numFmtId="0" xfId="0" applyAlignment="1" applyBorder="1" applyFont="1">
      <alignment vertical="top"/>
    </xf>
    <xf borderId="9" fillId="3" fontId="31" numFmtId="0" xfId="0" applyAlignment="1" applyBorder="1" applyFont="1">
      <alignment vertical="top"/>
    </xf>
    <xf borderId="0" fillId="14" fontId="32" numFmtId="0" xfId="0" applyAlignment="1" applyFill="1" applyFont="1">
      <alignment readingOrder="0" shrinkToFit="0" wrapText="1"/>
    </xf>
    <xf borderId="0" fillId="0" fontId="33" numFmtId="0" xfId="0" applyAlignment="1" applyFont="1">
      <alignment readingOrder="0"/>
    </xf>
    <xf borderId="2" fillId="6" fontId="20" numFmtId="0" xfId="0" applyAlignment="1" applyBorder="1" applyFont="1">
      <alignment readingOrder="0" shrinkToFit="0" vertical="bottom" wrapText="0"/>
    </xf>
    <xf borderId="10" fillId="4" fontId="21" numFmtId="0" xfId="0" applyAlignment="1" applyBorder="1" applyFont="1">
      <alignment readingOrder="0" vertical="bottom"/>
    </xf>
    <xf borderId="10" fillId="0" fontId="28" numFmtId="0" xfId="0" applyAlignment="1" applyBorder="1" applyFont="1">
      <alignment readingOrder="0" vertical="bottom"/>
    </xf>
    <xf borderId="10" fillId="3" fontId="21" numFmtId="0" xfId="0" applyAlignment="1" applyBorder="1" applyFont="1">
      <alignment readingOrder="0" vertical="bottom"/>
    </xf>
    <xf borderId="10" fillId="0" fontId="21" numFmtId="0" xfId="0" applyAlignment="1" applyBorder="1" applyFont="1">
      <alignment readingOrder="0" shrinkToFit="0" vertical="bottom" wrapText="0"/>
    </xf>
    <xf borderId="10" fillId="0" fontId="26" numFmtId="0" xfId="0" applyAlignment="1" applyBorder="1" applyFont="1">
      <alignment readingOrder="0" shrinkToFit="0" vertical="bottom" wrapText="0"/>
    </xf>
    <xf borderId="10" fillId="0" fontId="21" numFmtId="0" xfId="0" applyAlignment="1" applyBorder="1" applyFont="1">
      <alignment shrinkToFit="0" vertical="bottom" wrapText="0"/>
    </xf>
    <xf borderId="10" fillId="3" fontId="34" numFmtId="0" xfId="0" applyAlignment="1" applyBorder="1" applyFont="1">
      <alignment readingOrder="0" shrinkToFit="0" vertical="bottom" wrapText="0"/>
    </xf>
    <xf borderId="10" fillId="3" fontId="21" numFmtId="0" xfId="0" applyAlignment="1" applyBorder="1" applyFont="1">
      <alignment shrinkToFit="0" vertical="bottom" wrapText="0"/>
    </xf>
    <xf borderId="10" fillId="12" fontId="34" numFmtId="0" xfId="0" applyAlignment="1" applyBorder="1" applyFont="1">
      <alignment readingOrder="0" shrinkToFit="0" vertical="bottom" wrapText="0"/>
    </xf>
    <xf borderId="0" fillId="12" fontId="21" numFmtId="0" xfId="0" applyAlignment="1" applyFont="1">
      <alignment shrinkToFit="0" vertical="bottom" wrapText="0"/>
    </xf>
    <xf borderId="10" fillId="13" fontId="35" numFmtId="0" xfId="0" applyAlignment="1" applyBorder="1" applyFont="1">
      <alignment readingOrder="0" shrinkToFit="0" vertical="bottom" wrapText="0"/>
    </xf>
    <xf borderId="10" fillId="11" fontId="36" numFmtId="0" xfId="0" applyAlignment="1" applyBorder="1" applyFont="1">
      <alignment readingOrder="0" shrinkToFit="0" vertical="bottom" wrapText="0"/>
    </xf>
    <xf borderId="10" fillId="0" fontId="21" numFmtId="0" xfId="0" applyAlignment="1" applyBorder="1" applyFont="1">
      <alignment readingOrder="0" vertical="bottom"/>
    </xf>
    <xf borderId="10" fillId="11" fontId="21" numFmtId="0" xfId="0" applyAlignment="1" applyBorder="1" applyFont="1">
      <alignment readingOrder="0" vertical="bottom"/>
    </xf>
    <xf borderId="10" fillId="0" fontId="26" numFmtId="0" xfId="0" applyAlignment="1" applyBorder="1" applyFont="1">
      <alignment readingOrder="0" vertical="bottom"/>
    </xf>
    <xf borderId="10" fillId="3" fontId="21" numFmtId="0" xfId="0" applyAlignment="1" applyBorder="1" applyFont="1">
      <alignment readingOrder="0" shrinkToFit="0" vertical="bottom" wrapText="0"/>
    </xf>
    <xf borderId="10" fillId="15" fontId="21" numFmtId="0" xfId="0" applyAlignment="1" applyBorder="1" applyFill="1" applyFont="1">
      <alignment readingOrder="0" shrinkToFit="0" vertical="bottom" wrapText="0"/>
    </xf>
    <xf borderId="10" fillId="16" fontId="21" numFmtId="0" xfId="0" applyAlignment="1" applyBorder="1" applyFill="1" applyFont="1">
      <alignment readingOrder="0" shrinkToFit="0" vertical="bottom" wrapText="0"/>
    </xf>
    <xf borderId="10" fillId="17" fontId="26" numFmtId="0" xfId="0" applyAlignment="1" applyBorder="1" applyFill="1" applyFont="1">
      <alignment readingOrder="0" shrinkToFit="0" vertical="bottom" wrapText="0"/>
    </xf>
    <xf borderId="10" fillId="17" fontId="21" numFmtId="0" xfId="0" applyAlignment="1" applyBorder="1" applyFont="1">
      <alignment readingOrder="0" shrinkToFit="0" vertical="bottom" wrapText="0"/>
    </xf>
    <xf borderId="11" fillId="0" fontId="21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c88275c5-fa70-4b86-98c0-9d00b595244c}">
    <Anchor>
      <Comment id="{80f12e6e-b329-4148-84f8-a5c328bf3482}"/>
    </Anchor>
    <History>
      <Event time="2026-03-03T21:18:22.00" id="{4e10570c-81b7-4921-989d-4e2f3778c732}">
        <Attribution userId="placeholder@email.com" userName="Ashok Kotagari" userProvider="google-sheets"/>
        <Anchor>
          <Comment id="{80f12e6e-b329-4148-84f8-a5c328bf3482}"/>
        </Anchor>
        <Create/>
      </Event>
      <Event time="2026-03-03T21:18:22.00" id="{73fa7a19-708c-471f-86bd-7ad8fed7b536}">
        <Attribution userId="placeholder@email.com" userName="Ashok Kotagari" userProvider="google-sheets"/>
        <Anchor>
          <Comment id="{80f12e6e-b329-4148-84f8-a5c328bf3482}"/>
        </Anchor>
        <Assign userId="adam.haas@coastalcloud.us" userName="adam.haas@coastalcloud.us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shok Kotagari" id="{61faed87-aa36-447a-adfd-e9ff61467275}" providerId="google-sheets"/>
  <x18tc:person displayName="permender.singh@coastalcloud.us" id="{0af919d3-7048-4476-ad63-79d8888116ac}" userId="permender.singh@coastalcloud.us" providerId="google-sheets"/>
  <x18tc:person displayName="jeffrey.francis@coastalcloud.us" id="{fb529a8a-1fdd-486c-97d9-833361fb988e}" userId="jeffrey.francis@coastalcloud.us" providerId="google-sheets"/>
  <x18tc:person displayName="adam.haas@coastalcloud.us" id="{26ac7926-4d5a-4215-a181-77a9192c5cdc}" userId="adam.haas@coastalcloud.us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J25" sheet="Summary of Testing"/>
  </cacheSource>
  <cacheFields>
    <cacheField name="Grouping" numFmtId="0">
      <sharedItems>
        <s v="1 - SF to WD"/>
        <s v="2 - SF* to Legacy"/>
        <s v="3 - WD to SF"/>
        <s v="4 - WD to Legacy"/>
        <s v="5 - SF to HS"/>
      </sharedItems>
    </cacheField>
    <cacheField name="Source System" numFmtId="0">
      <sharedItems>
        <s v="Salesforce"/>
        <s v="Workday"/>
      </sharedItems>
    </cacheField>
    <cacheField name="Destination System" numFmtId="0">
      <sharedItems>
        <s v="Workday"/>
        <s v="D365"/>
        <s v="GlobalScape (Salesforce)"/>
        <s v="Tripwire (Salesforce)"/>
        <s v="Salesforce"/>
        <s v="HubSpot"/>
      </sharedItems>
    </cacheField>
    <cacheField name="Primary SF Object(s)" numFmtId="0">
      <sharedItems>
        <s v="Account"/>
        <s v="Contact"/>
        <s v="Orders &amp; Order Line Items"/>
        <s v="Invoices"/>
        <s v="Payment"/>
        <s v="Opportunity"/>
      </sharedItems>
    </cacheField>
    <cacheField name="Source System Tester" numFmtId="0">
      <sharedItems>
        <s v="Aaron Broom &amp; Ben Kozlowski"/>
        <s v="Joe Romo"/>
      </sharedItems>
    </cacheField>
    <cacheField name="Destination System Tester" numFmtId="0">
      <sharedItems>
        <s v="Joe Romo"/>
        <s v="Aaron Broom &amp; Ben Kozlowski"/>
      </sharedItems>
    </cacheField>
    <cacheField name="Test Size" numFmtId="0">
      <sharedItems containsSemiMixedTypes="0" containsString="0" containsNumber="1" containsInteger="1">
        <n v="5.0"/>
      </sharedItems>
    </cacheField>
    <cacheField name="Success" numFmtId="0">
      <sharedItems containsSemiMixedTypes="0" containsString="0" containsNumber="1" containsInteger="1">
        <n v="11.0"/>
        <n v="8.0"/>
        <n v="2.0"/>
        <n v="1.0"/>
        <n v="0.0"/>
        <n v="4.0"/>
      </sharedItems>
    </cacheField>
    <cacheField name="Failures" numFmtId="0">
      <sharedItems containsSemiMixedTypes="0" containsString="0" containsNumber="1" containsInteger="1">
        <n v="0.0"/>
        <n v="3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8" firstHeaderRow="0" firstDataRow="1" firstDataCol="0"/>
  <pivotFields>
    <pivotField name="Grouping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ource System" compact="0" outline="0" multipleItemSelectionAllowed="1" showAll="0">
      <items>
        <item x="0"/>
        <item x="1"/>
        <item t="default"/>
      </items>
    </pivotField>
    <pivotField name="Destination System" axis="axisRow" compact="0" outline="0" multipleItemSelectionAllowed="1" showAll="0" sortType="ascending">
      <items>
        <item x="1"/>
        <item x="2"/>
        <item x="5"/>
        <item x="4"/>
        <item x="3"/>
        <item x="0"/>
        <item t="default"/>
      </items>
    </pivotField>
    <pivotField name="Primary SF Object(s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ource System Tester" compact="0" outline="0" multipleItemSelectionAllowed="1" showAll="0">
      <items>
        <item x="0"/>
        <item x="1"/>
        <item t="default"/>
      </items>
    </pivotField>
    <pivotField name="Destination System Tester" compact="0" outline="0" multipleItemSelectionAllowed="1" showAll="0">
      <items>
        <item x="0"/>
        <item x="1"/>
        <item t="default"/>
      </items>
    </pivotField>
    <pivotField name="Test Size" compact="0" outline="0" multipleItemSelectionAllowed="1" showAll="0">
      <items>
        <item x="0"/>
        <item t="default"/>
      </items>
    </pivotField>
    <pivotField name="Succes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ailures" dataField="1" compact="0" outline="0" multipleItemSelectionAllowed="1" showAll="0">
      <items>
        <item x="0"/>
        <item x="1"/>
        <item t="default"/>
      </items>
    </pivotField>
  </pivotFields>
  <rowFields>
    <field x="2"/>
  </rowFields>
  <dataFields>
    <dataField name="SUM of Failures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3-03T21:18:22.00" personId="{61faed87-aa36-447a-adfd-e9ff61467275}" id="{80f12e6e-b329-4148-84f8-a5c328bf3482}" done="0">
    <x18tc:text xml:space="preserve">@adam.haas@coastalcloud.us 
cc: @permender.singh@coastalcloud.us @jeffrey.francis@coastalcloud.us
Assigned to adam.haas@coastalcloud.us</x18tc:text>
    <x18tc:mentions>
      <x18tc:mention mentionpersonId="{26ac7926-4d5a-4215-a181-77a9192c5cdc}" mentionId="{426fd072-df95-4af1-b2ab-5c6bf4febe0b}" startIndex="0" length="26"/>
      <x18tc:mention mentionpersonId="{0af919d3-7048-4476-ad63-79d8888116ac}" mentionId="{2693cee8-0dc8-4e9d-9a14-64c20a6e73de}" startIndex="32" length="32"/>
      <x18tc:mention mentionpersonId="{fb529a8a-1fdd-486c-97d9-833361fb988e}" mentionId="{457d181c-0ab8-4587-b2a5-426a5c834027}" startIndex="65" length="32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fortra--uat.sandbox.lightning.force.com/lightning/r/a01WC00000duYzyYAE/view" TargetMode="External"/><Relationship Id="rId10" Type="http://schemas.openxmlformats.org/officeDocument/2006/relationships/hyperlink" Target="https://fortra--uat.sandbox.lightning.force.com/lightning/r/a01WC00000due4OYAQ/view" TargetMode="External"/><Relationship Id="rId13" Type="http://schemas.openxmlformats.org/officeDocument/2006/relationships/hyperlink" Target="https://fortra--uat.sandbox.lightning.force.com/lightning/r/a01WC00000aW7L1YAK/view" TargetMode="External"/><Relationship Id="rId12" Type="http://schemas.openxmlformats.org/officeDocument/2006/relationships/hyperlink" Target="https://fortra--uat.sandbox.lightning.force.com/lightning/r/a01WC00000dudecYAA/view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fortra--uat.sandbox.lightning.force.com/lightning/r/a01WC00000aW3W5YAK/view" TargetMode="External"/><Relationship Id="rId9" Type="http://schemas.openxmlformats.org/officeDocument/2006/relationships/hyperlink" Target="https://fortra--uat.sandbox.lightning.force.com/lightning/r/a01WC00000dKeqsYAC/view" TargetMode="External"/><Relationship Id="rId15" Type="http://schemas.openxmlformats.org/officeDocument/2006/relationships/vmlDrawing" Target="../drawings/vmlDrawing1.vml"/><Relationship Id="rId14" Type="http://schemas.openxmlformats.org/officeDocument/2006/relationships/drawing" Target="../drawings/drawing1.xml"/><Relationship Id="rId5" Type="http://schemas.openxmlformats.org/officeDocument/2006/relationships/hyperlink" Target="https://fortra--uat.sandbox.lightning.force.com/lightning/r/a01WC00000aVztmYAC/view" TargetMode="External"/><Relationship Id="rId6" Type="http://schemas.openxmlformats.org/officeDocument/2006/relationships/hyperlink" Target="https://fortra--uat.sandbox.lightning.force.com/lightning/r/a01WC00000aW8aQYAS/view" TargetMode="External"/><Relationship Id="rId7" Type="http://schemas.openxmlformats.org/officeDocument/2006/relationships/hyperlink" Target="https://fortra--uat.sandbox.lightning.force.com/lightning/r/a01WC00000aW3UKYA0/view" TargetMode="External"/><Relationship Id="rId8" Type="http://schemas.openxmlformats.org/officeDocument/2006/relationships/hyperlink" Target="https://fortra--uat.sandbox.lightning.force.com/lightning/r/a01WC00000aW96jYAC/view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K8ZkZ1h4biTshGZQPnEJWVBO8KnBmJLY/edit?gid=1801088628" TargetMode="External"/><Relationship Id="rId2" Type="http://schemas.openxmlformats.org/officeDocument/2006/relationships/hyperlink" Target="https://docs.google.com/spreadsheets/d/1nvJE8xLDzMKw_L_n7Fb1pljPh1NMi2z1/edit?gid=1420856203" TargetMode="External"/><Relationship Id="rId3" Type="http://schemas.openxmlformats.org/officeDocument/2006/relationships/hyperlink" Target="https://docs.google.com/spreadsheets/d/1atspKdZFoWdulPKFRg3Bh45UNflzmGnP/edit?gid=908143852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UjP0KS6rucXsT1Xrim-Dh1De8zW2syN2/edit?gid=959807356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helpsystemsllc.sharepoint.com/:x:/r/sites/PROJ-LoBOperationalReadinessTransformation/_layouts/15/Doc.aspx?sourcedoc=%7BD77D89CF-47A2-4050-BCE5-23D13E0F4D42%7D&amp;file=Fortra%20-%20Field%20Level%20(FINAL).xlsx&amp;fromShare=true&amp;action=default&amp;mobileredirect=true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helpsystemsllc.sharepoint.com/:x:/r/sites/PROJ-LoBOperationalReadinessTransformation/_layouts/15/Doc.aspx?sourcedoc=%7BD77D89CF-47A2-4050-BCE5-23D13E0F4D42%7D&amp;file=Fortra%20-%20Field%20Level%20(FINAL).xlsx&amp;fromShare=true&amp;action=default&amp;mobileredirect=true" TargetMode="External"/><Relationship Id="rId2" Type="http://schemas.openxmlformats.org/officeDocument/2006/relationships/hyperlink" Target="https://helpsystemsllc.sharepoint.com/:x:/r/sites/PROJ-LoBOperationalReadinessTransformation/_layouts/15/Doc.aspx?sourcedoc=%7BD77D89CF-47A2-4050-BCE5-23D13E0F4D42%7D&amp;file=Fortra%20-%20Field%20Level%20(FINAL).xlsx&amp;fromShare=true&amp;action=default&amp;mobileredirect=true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fortra--uat.sandbox.lightning.force.com/lightning/r/Order/801WC00000biEOXYA2/view" TargetMode="External"/><Relationship Id="rId2" Type="http://schemas.openxmlformats.org/officeDocument/2006/relationships/hyperlink" Target="https://fortra--uat.sandbox.lightning.force.com/lightning/r/Order/801WC00000bi6pDYAQ/view" TargetMode="External"/><Relationship Id="rId3" Type="http://schemas.openxmlformats.org/officeDocument/2006/relationships/hyperlink" Target="https://fortra--uat.sandbox.lightning.force.com/lightning/r/Order/801WC00000bhnwFYAQ/view" TargetMode="External"/><Relationship Id="rId4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75"/>
  <cols>
    <col customWidth="1" min="1" max="2" width="14.38"/>
    <col customWidth="1" min="3" max="3" width="13.5"/>
    <col customWidth="1" min="4" max="4" width="24.25"/>
    <col customWidth="1" min="5" max="5" width="23.13"/>
    <col customWidth="1" min="6" max="7" width="28.63"/>
    <col customWidth="1" min="8" max="8" width="12.88"/>
    <col customWidth="1" min="9" max="9" width="10.88"/>
    <col customWidth="1" min="10" max="10" width="11.0"/>
    <col customWidth="1" min="11" max="11" width="0.38"/>
    <col customWidth="1" min="12" max="12" width="11.0"/>
    <col customWidth="1" min="13" max="13" width="20.0"/>
    <col customWidth="1" min="14" max="14" width="18.63"/>
    <col customWidth="1" min="15" max="15" width="19.63"/>
    <col customWidth="1" min="16" max="16" width="24.0"/>
    <col customWidth="1" min="17" max="17" width="19.38"/>
    <col customWidth="1" min="18" max="18" width="18.63"/>
    <col customWidth="1" min="19" max="19" width="19.63"/>
    <col customWidth="1" min="20" max="20" width="11.0"/>
    <col customWidth="1" min="21" max="21" width="18.88"/>
    <col customWidth="1" min="22" max="22" width="18.63"/>
    <col customWidth="1" min="23" max="23" width="19.63"/>
    <col customWidth="1" min="24" max="25" width="18.25"/>
    <col customWidth="1" min="26" max="27" width="18.63"/>
    <col customWidth="1" min="28" max="28" width="18.25"/>
    <col customWidth="1" min="29" max="30" width="18.63"/>
    <col customWidth="1" min="31" max="31" width="18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 t="s">
        <v>0</v>
      </c>
      <c r="P1" s="2" t="s">
        <v>1</v>
      </c>
      <c r="T1" s="3" t="s">
        <v>2</v>
      </c>
      <c r="X1" s="2" t="s">
        <v>3</v>
      </c>
      <c r="AB1" s="3" t="s">
        <v>4</v>
      </c>
    </row>
    <row r="2">
      <c r="A2" s="1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13</v>
      </c>
      <c r="J2" s="4" t="s">
        <v>14</v>
      </c>
      <c r="K2" s="5" t="s">
        <v>15</v>
      </c>
      <c r="L2" s="6" t="s">
        <v>16</v>
      </c>
      <c r="M2" s="4" t="s">
        <v>17</v>
      </c>
      <c r="N2" s="4" t="s">
        <v>18</v>
      </c>
      <c r="O2" s="7" t="s">
        <v>19</v>
      </c>
      <c r="P2" s="6" t="s">
        <v>16</v>
      </c>
      <c r="Q2" s="4" t="s">
        <v>17</v>
      </c>
      <c r="R2" s="4" t="s">
        <v>18</v>
      </c>
      <c r="S2" s="7" t="s">
        <v>19</v>
      </c>
      <c r="T2" s="8" t="s">
        <v>16</v>
      </c>
      <c r="U2" s="9" t="s">
        <v>17</v>
      </c>
      <c r="V2" s="9" t="s">
        <v>18</v>
      </c>
      <c r="W2" s="10" t="s">
        <v>19</v>
      </c>
      <c r="X2" s="6" t="s">
        <v>16</v>
      </c>
      <c r="Y2" s="4" t="s">
        <v>17</v>
      </c>
      <c r="Z2" s="4" t="s">
        <v>18</v>
      </c>
      <c r="AA2" s="7" t="s">
        <v>19</v>
      </c>
      <c r="AB2" s="8" t="s">
        <v>16</v>
      </c>
      <c r="AC2" s="9" t="s">
        <v>17</v>
      </c>
      <c r="AD2" s="9" t="s">
        <v>18</v>
      </c>
      <c r="AE2" s="11" t="s">
        <v>19</v>
      </c>
    </row>
    <row r="3">
      <c r="A3" s="12" t="s">
        <v>20</v>
      </c>
      <c r="B3" s="13" t="s">
        <v>21</v>
      </c>
      <c r="C3" s="14" t="s">
        <v>22</v>
      </c>
      <c r="D3" s="14" t="s">
        <v>23</v>
      </c>
      <c r="E3" s="14" t="s">
        <v>24</v>
      </c>
      <c r="F3" s="15" t="s">
        <v>25</v>
      </c>
      <c r="G3" s="15" t="s">
        <v>26</v>
      </c>
      <c r="H3" s="15">
        <f t="shared" ref="H3:H27" si="1">COUNTA($L$1:$AE$1)</f>
        <v>5</v>
      </c>
      <c r="I3" s="15">
        <f t="shared" ref="I3:I27" si="2">COUNTIF(N3:AE3,"Success")+COUNTIF(N3:AE3,"Pending Validation")</f>
        <v>11</v>
      </c>
      <c r="J3" s="15">
        <f t="shared" ref="J3:J27" si="3">COUNTIF(N3:AE3,"Failure")</f>
        <v>0</v>
      </c>
      <c r="K3" s="16">
        <f t="shared" ref="K3:K14" si="4">COUNTIF(M3:U3,"To Be Conducted")</f>
        <v>0</v>
      </c>
      <c r="L3" s="17" t="s">
        <v>27</v>
      </c>
      <c r="M3" s="18" t="s">
        <v>28</v>
      </c>
      <c r="N3" s="15" t="s">
        <v>13</v>
      </c>
      <c r="O3" s="19" t="s">
        <v>29</v>
      </c>
      <c r="P3" s="17" t="s">
        <v>30</v>
      </c>
      <c r="Q3" s="15" t="s">
        <v>31</v>
      </c>
      <c r="R3" s="15" t="s">
        <v>13</v>
      </c>
      <c r="S3" s="19" t="s">
        <v>29</v>
      </c>
      <c r="T3" s="17" t="s">
        <v>32</v>
      </c>
      <c r="U3" s="18" t="s">
        <v>33</v>
      </c>
      <c r="V3" s="20" t="s">
        <v>13</v>
      </c>
      <c r="W3" s="21" t="s">
        <v>29</v>
      </c>
      <c r="X3" s="18" t="s">
        <v>33</v>
      </c>
      <c r="Y3" s="20" t="s">
        <v>13</v>
      </c>
      <c r="Z3" s="21" t="s">
        <v>29</v>
      </c>
      <c r="AA3" s="22" t="s">
        <v>15</v>
      </c>
      <c r="AB3" s="23" t="s">
        <v>33</v>
      </c>
      <c r="AC3" s="24" t="s">
        <v>13</v>
      </c>
      <c r="AD3" s="25" t="s">
        <v>29</v>
      </c>
      <c r="AE3" s="25" t="s">
        <v>29</v>
      </c>
    </row>
    <row r="4">
      <c r="A4" s="12" t="s">
        <v>34</v>
      </c>
      <c r="B4" s="13" t="s">
        <v>21</v>
      </c>
      <c r="C4" s="14" t="s">
        <v>22</v>
      </c>
      <c r="D4" s="14" t="s">
        <v>23</v>
      </c>
      <c r="E4" s="14" t="s">
        <v>35</v>
      </c>
      <c r="F4" s="15" t="s">
        <v>25</v>
      </c>
      <c r="G4" s="15" t="s">
        <v>26</v>
      </c>
      <c r="H4" s="15">
        <f t="shared" si="1"/>
        <v>5</v>
      </c>
      <c r="I4" s="15">
        <f t="shared" si="2"/>
        <v>11</v>
      </c>
      <c r="J4" s="15">
        <f t="shared" si="3"/>
        <v>0</v>
      </c>
      <c r="K4" s="16">
        <f t="shared" si="4"/>
        <v>0</v>
      </c>
      <c r="L4" s="17" t="str">
        <f t="shared" ref="L4:M4" si="5">L$3</f>
        <v>00000645</v>
      </c>
      <c r="M4" s="18" t="str">
        <f t="shared" si="5"/>
        <v>801WC00000eKROQYA4</v>
      </c>
      <c r="N4" s="15" t="s">
        <v>13</v>
      </c>
      <c r="O4" s="19" t="s">
        <v>29</v>
      </c>
      <c r="P4" s="17" t="str">
        <f t="shared" ref="P4:Q4" si="6">P$3</f>
        <v>00000646</v>
      </c>
      <c r="Q4" s="15" t="str">
        <f t="shared" si="6"/>
        <v>801WC00000eJw9XYAS</v>
      </c>
      <c r="R4" s="15" t="s">
        <v>13</v>
      </c>
      <c r="S4" s="19" t="s">
        <v>29</v>
      </c>
      <c r="T4" s="17" t="str">
        <f t="shared" ref="T4:U4" si="7">T$3</f>
        <v>00000662</v>
      </c>
      <c r="U4" s="18" t="str">
        <f t="shared" si="7"/>
        <v>801WC00000eLFprYAG</v>
      </c>
      <c r="V4" s="20" t="s">
        <v>13</v>
      </c>
      <c r="W4" s="21" t="s">
        <v>29</v>
      </c>
      <c r="X4" s="17" t="str">
        <f t="shared" ref="X4:X14" si="12">X$3</f>
        <v>801WC00000eLFprYAG</v>
      </c>
      <c r="Y4" s="20" t="s">
        <v>13</v>
      </c>
      <c r="Z4" s="21" t="s">
        <v>29</v>
      </c>
      <c r="AA4" s="22" t="s">
        <v>15</v>
      </c>
      <c r="AB4" s="17" t="str">
        <f t="shared" ref="AB4:AC4" si="8">AB$3</f>
        <v>801WC00000eLFprYAG</v>
      </c>
      <c r="AC4" s="18" t="str">
        <f t="shared" si="8"/>
        <v>Success</v>
      </c>
      <c r="AD4" s="25" t="s">
        <v>29</v>
      </c>
      <c r="AE4" s="25" t="s">
        <v>29</v>
      </c>
    </row>
    <row r="5">
      <c r="A5" s="12" t="s">
        <v>36</v>
      </c>
      <c r="B5" s="13" t="s">
        <v>21</v>
      </c>
      <c r="C5" s="26" t="s">
        <v>22</v>
      </c>
      <c r="D5" s="27" t="s">
        <v>23</v>
      </c>
      <c r="E5" s="26" t="s">
        <v>37</v>
      </c>
      <c r="F5" s="28" t="s">
        <v>25</v>
      </c>
      <c r="G5" s="28" t="s">
        <v>26</v>
      </c>
      <c r="H5" s="15">
        <f t="shared" si="1"/>
        <v>5</v>
      </c>
      <c r="I5" s="15">
        <f t="shared" si="2"/>
        <v>11</v>
      </c>
      <c r="J5" s="15">
        <f t="shared" si="3"/>
        <v>0</v>
      </c>
      <c r="K5" s="16">
        <f t="shared" si="4"/>
        <v>0</v>
      </c>
      <c r="L5" s="17" t="str">
        <f t="shared" ref="L5:M5" si="9">L$3</f>
        <v>00000645</v>
      </c>
      <c r="M5" s="18" t="str">
        <f t="shared" si="9"/>
        <v>801WC00000eKROQYA4</v>
      </c>
      <c r="N5" s="15" t="s">
        <v>13</v>
      </c>
      <c r="O5" s="19" t="s">
        <v>29</v>
      </c>
      <c r="P5" s="17" t="str">
        <f t="shared" ref="P5:Q5" si="10">P$3</f>
        <v>00000646</v>
      </c>
      <c r="Q5" s="15" t="str">
        <f t="shared" si="10"/>
        <v>801WC00000eJw9XYAS</v>
      </c>
      <c r="R5" s="15" t="s">
        <v>13</v>
      </c>
      <c r="S5" s="19" t="s">
        <v>29</v>
      </c>
      <c r="T5" s="17" t="str">
        <f t="shared" ref="T5:U5" si="11">T$3</f>
        <v>00000662</v>
      </c>
      <c r="U5" s="18" t="str">
        <f t="shared" si="11"/>
        <v>801WC00000eLFprYAG</v>
      </c>
      <c r="V5" s="20" t="s">
        <v>13</v>
      </c>
      <c r="W5" s="21" t="s">
        <v>29</v>
      </c>
      <c r="X5" s="17" t="str">
        <f t="shared" si="12"/>
        <v>801WC00000eLFprYAG</v>
      </c>
      <c r="Y5" s="20" t="s">
        <v>13</v>
      </c>
      <c r="Z5" s="21" t="s">
        <v>29</v>
      </c>
      <c r="AA5" s="22" t="s">
        <v>15</v>
      </c>
      <c r="AB5" s="17" t="str">
        <f t="shared" ref="AB5:AC5" si="13">AB$3</f>
        <v>801WC00000eLFprYAG</v>
      </c>
      <c r="AC5" s="18" t="str">
        <f t="shared" si="13"/>
        <v>Success</v>
      </c>
      <c r="AD5" s="25" t="s">
        <v>29</v>
      </c>
      <c r="AE5" s="25" t="s">
        <v>29</v>
      </c>
    </row>
    <row r="6">
      <c r="A6" s="29"/>
      <c r="B6" s="30" t="s">
        <v>38</v>
      </c>
      <c r="C6" s="14" t="s">
        <v>22</v>
      </c>
      <c r="D6" s="31" t="s">
        <v>39</v>
      </c>
      <c r="E6" s="14" t="s">
        <v>24</v>
      </c>
      <c r="F6" s="15" t="s">
        <v>25</v>
      </c>
      <c r="G6" s="15" t="s">
        <v>26</v>
      </c>
      <c r="H6" s="15">
        <f t="shared" si="1"/>
        <v>5</v>
      </c>
      <c r="I6" s="15">
        <f t="shared" si="2"/>
        <v>11</v>
      </c>
      <c r="J6" s="15">
        <f t="shared" si="3"/>
        <v>0</v>
      </c>
      <c r="K6" s="16">
        <f t="shared" si="4"/>
        <v>0</v>
      </c>
      <c r="L6" s="17" t="str">
        <f t="shared" ref="L6:M6" si="14">L$3</f>
        <v>00000645</v>
      </c>
      <c r="M6" s="18" t="str">
        <f t="shared" si="14"/>
        <v>801WC00000eKROQYA4</v>
      </c>
      <c r="N6" s="15" t="s">
        <v>13</v>
      </c>
      <c r="O6" s="19" t="s">
        <v>29</v>
      </c>
      <c r="P6" s="17" t="str">
        <f t="shared" ref="P6:Q6" si="15">P$3</f>
        <v>00000646</v>
      </c>
      <c r="Q6" s="15" t="str">
        <f t="shared" si="15"/>
        <v>801WC00000eJw9XYAS</v>
      </c>
      <c r="R6" s="15" t="s">
        <v>13</v>
      </c>
      <c r="S6" s="19" t="s">
        <v>29</v>
      </c>
      <c r="T6" s="17" t="str">
        <f t="shared" ref="T6:U6" si="16">T$3</f>
        <v>00000662</v>
      </c>
      <c r="U6" s="18" t="str">
        <f t="shared" si="16"/>
        <v>801WC00000eLFprYAG</v>
      </c>
      <c r="V6" s="20" t="s">
        <v>13</v>
      </c>
      <c r="W6" s="21" t="s">
        <v>29</v>
      </c>
      <c r="X6" s="17" t="str">
        <f t="shared" si="12"/>
        <v>801WC00000eLFprYAG</v>
      </c>
      <c r="Y6" s="20" t="s">
        <v>13</v>
      </c>
      <c r="Z6" s="21" t="s">
        <v>29</v>
      </c>
      <c r="AA6" s="22" t="s">
        <v>15</v>
      </c>
      <c r="AB6" s="17" t="str">
        <f t="shared" ref="AB6:AC6" si="17">AB$3</f>
        <v>801WC00000eLFprYAG</v>
      </c>
      <c r="AC6" s="18" t="str">
        <f t="shared" si="17"/>
        <v>Success</v>
      </c>
      <c r="AD6" s="25" t="s">
        <v>29</v>
      </c>
      <c r="AE6" s="25" t="s">
        <v>29</v>
      </c>
    </row>
    <row r="7">
      <c r="A7" s="29"/>
      <c r="B7" s="30" t="s">
        <v>38</v>
      </c>
      <c r="C7" s="14" t="s">
        <v>22</v>
      </c>
      <c r="D7" s="31" t="s">
        <v>39</v>
      </c>
      <c r="E7" s="26" t="s">
        <v>35</v>
      </c>
      <c r="F7" s="15" t="s">
        <v>25</v>
      </c>
      <c r="G7" s="15" t="s">
        <v>26</v>
      </c>
      <c r="H7" s="15">
        <f t="shared" si="1"/>
        <v>5</v>
      </c>
      <c r="I7" s="15">
        <f t="shared" si="2"/>
        <v>11</v>
      </c>
      <c r="J7" s="15">
        <f t="shared" si="3"/>
        <v>0</v>
      </c>
      <c r="K7" s="16">
        <f t="shared" si="4"/>
        <v>0</v>
      </c>
      <c r="L7" s="17" t="str">
        <f t="shared" ref="L7:M7" si="18">L$3</f>
        <v>00000645</v>
      </c>
      <c r="M7" s="18" t="str">
        <f t="shared" si="18"/>
        <v>801WC00000eKROQYA4</v>
      </c>
      <c r="N7" s="15" t="s">
        <v>13</v>
      </c>
      <c r="O7" s="19" t="s">
        <v>29</v>
      </c>
      <c r="P7" s="17" t="str">
        <f t="shared" ref="P7:Q7" si="19">P$3</f>
        <v>00000646</v>
      </c>
      <c r="Q7" s="15" t="str">
        <f t="shared" si="19"/>
        <v>801WC00000eJw9XYAS</v>
      </c>
      <c r="R7" s="15" t="s">
        <v>13</v>
      </c>
      <c r="S7" s="19" t="s">
        <v>29</v>
      </c>
      <c r="T7" s="17" t="str">
        <f t="shared" ref="T7:U7" si="20">T$3</f>
        <v>00000662</v>
      </c>
      <c r="U7" s="18" t="str">
        <f t="shared" si="20"/>
        <v>801WC00000eLFprYAG</v>
      </c>
      <c r="V7" s="20" t="s">
        <v>13</v>
      </c>
      <c r="W7" s="21" t="s">
        <v>29</v>
      </c>
      <c r="X7" s="17" t="str">
        <f t="shared" si="12"/>
        <v>801WC00000eLFprYAG</v>
      </c>
      <c r="Y7" s="20" t="s">
        <v>13</v>
      </c>
      <c r="Z7" s="21" t="s">
        <v>29</v>
      </c>
      <c r="AA7" s="22" t="s">
        <v>15</v>
      </c>
      <c r="AB7" s="17" t="str">
        <f t="shared" ref="AB7:AC7" si="21">AB$3</f>
        <v>801WC00000eLFprYAG</v>
      </c>
      <c r="AC7" s="18" t="str">
        <f t="shared" si="21"/>
        <v>Success</v>
      </c>
      <c r="AD7" s="25" t="s">
        <v>29</v>
      </c>
      <c r="AE7" s="25" t="s">
        <v>29</v>
      </c>
    </row>
    <row r="8">
      <c r="A8" s="29"/>
      <c r="B8" s="30" t="s">
        <v>38</v>
      </c>
      <c r="C8" s="14" t="s">
        <v>22</v>
      </c>
      <c r="D8" s="31" t="s">
        <v>39</v>
      </c>
      <c r="E8" s="14" t="s">
        <v>37</v>
      </c>
      <c r="F8" s="15" t="s">
        <v>25</v>
      </c>
      <c r="G8" s="15" t="s">
        <v>26</v>
      </c>
      <c r="H8" s="15">
        <f t="shared" si="1"/>
        <v>5</v>
      </c>
      <c r="I8" s="15">
        <f t="shared" si="2"/>
        <v>11</v>
      </c>
      <c r="J8" s="15">
        <f t="shared" si="3"/>
        <v>0</v>
      </c>
      <c r="K8" s="16">
        <f t="shared" si="4"/>
        <v>0</v>
      </c>
      <c r="L8" s="17" t="str">
        <f t="shared" ref="L8:M8" si="22">L$3</f>
        <v>00000645</v>
      </c>
      <c r="M8" s="18" t="str">
        <f t="shared" si="22"/>
        <v>801WC00000eKROQYA4</v>
      </c>
      <c r="N8" s="15" t="s">
        <v>13</v>
      </c>
      <c r="O8" s="19" t="s">
        <v>29</v>
      </c>
      <c r="P8" s="17" t="str">
        <f t="shared" ref="P8:Q8" si="23">P$3</f>
        <v>00000646</v>
      </c>
      <c r="Q8" s="15" t="str">
        <f t="shared" si="23"/>
        <v>801WC00000eJw9XYAS</v>
      </c>
      <c r="R8" s="15" t="s">
        <v>13</v>
      </c>
      <c r="S8" s="19" t="s">
        <v>29</v>
      </c>
      <c r="T8" s="17" t="str">
        <f t="shared" ref="T8:U8" si="24">T$3</f>
        <v>00000662</v>
      </c>
      <c r="U8" s="18" t="str">
        <f t="shared" si="24"/>
        <v>801WC00000eLFprYAG</v>
      </c>
      <c r="V8" s="20" t="s">
        <v>13</v>
      </c>
      <c r="W8" s="21" t="s">
        <v>29</v>
      </c>
      <c r="X8" s="17" t="str">
        <f t="shared" si="12"/>
        <v>801WC00000eLFprYAG</v>
      </c>
      <c r="Y8" s="20" t="s">
        <v>13</v>
      </c>
      <c r="Z8" s="21" t="s">
        <v>29</v>
      </c>
      <c r="AA8" s="22" t="s">
        <v>15</v>
      </c>
      <c r="AB8" s="17" t="str">
        <f t="shared" ref="AB8:AC8" si="25">AB$3</f>
        <v>801WC00000eLFprYAG</v>
      </c>
      <c r="AC8" s="18" t="str">
        <f t="shared" si="25"/>
        <v>Success</v>
      </c>
      <c r="AD8" s="25" t="s">
        <v>29</v>
      </c>
      <c r="AE8" s="25" t="s">
        <v>29</v>
      </c>
    </row>
    <row r="9">
      <c r="A9" s="29"/>
      <c r="B9" s="30" t="s">
        <v>38</v>
      </c>
      <c r="C9" s="14" t="s">
        <v>22</v>
      </c>
      <c r="D9" s="31" t="s">
        <v>40</v>
      </c>
      <c r="E9" s="14" t="s">
        <v>24</v>
      </c>
      <c r="F9" s="15" t="s">
        <v>25</v>
      </c>
      <c r="G9" s="15" t="s">
        <v>26</v>
      </c>
      <c r="H9" s="15">
        <f t="shared" si="1"/>
        <v>5</v>
      </c>
      <c r="I9" s="15">
        <f t="shared" si="2"/>
        <v>11</v>
      </c>
      <c r="J9" s="15">
        <f t="shared" si="3"/>
        <v>0</v>
      </c>
      <c r="K9" s="16">
        <f t="shared" si="4"/>
        <v>0</v>
      </c>
      <c r="L9" s="17" t="str">
        <f t="shared" ref="L9:M9" si="26">L$3</f>
        <v>00000645</v>
      </c>
      <c r="M9" s="18" t="str">
        <f t="shared" si="26"/>
        <v>801WC00000eKROQYA4</v>
      </c>
      <c r="N9" s="15" t="s">
        <v>13</v>
      </c>
      <c r="O9" s="19" t="s">
        <v>29</v>
      </c>
      <c r="P9" s="17" t="str">
        <f t="shared" ref="P9:Q9" si="27">P$3</f>
        <v>00000646</v>
      </c>
      <c r="Q9" s="15" t="str">
        <f t="shared" si="27"/>
        <v>801WC00000eJw9XYAS</v>
      </c>
      <c r="R9" s="15" t="s">
        <v>13</v>
      </c>
      <c r="S9" s="19" t="s">
        <v>29</v>
      </c>
      <c r="T9" s="17" t="str">
        <f t="shared" ref="T9:U9" si="28">T$3</f>
        <v>00000662</v>
      </c>
      <c r="U9" s="18" t="str">
        <f t="shared" si="28"/>
        <v>801WC00000eLFprYAG</v>
      </c>
      <c r="V9" s="20" t="s">
        <v>13</v>
      </c>
      <c r="W9" s="21" t="s">
        <v>29</v>
      </c>
      <c r="X9" s="17" t="str">
        <f t="shared" si="12"/>
        <v>801WC00000eLFprYAG</v>
      </c>
      <c r="Y9" s="20" t="s">
        <v>13</v>
      </c>
      <c r="Z9" s="21" t="s">
        <v>29</v>
      </c>
      <c r="AA9" s="22" t="s">
        <v>15</v>
      </c>
      <c r="AB9" s="17" t="str">
        <f t="shared" ref="AB9:AC9" si="29">AB$3</f>
        <v>801WC00000eLFprYAG</v>
      </c>
      <c r="AC9" s="18" t="str">
        <f t="shared" si="29"/>
        <v>Success</v>
      </c>
      <c r="AD9" s="25" t="s">
        <v>29</v>
      </c>
      <c r="AE9" s="25" t="s">
        <v>29</v>
      </c>
    </row>
    <row r="10">
      <c r="A10" s="29"/>
      <c r="B10" s="30" t="s">
        <v>38</v>
      </c>
      <c r="C10" s="14" t="s">
        <v>22</v>
      </c>
      <c r="D10" s="31" t="s">
        <v>40</v>
      </c>
      <c r="E10" s="26" t="s">
        <v>35</v>
      </c>
      <c r="F10" s="15" t="s">
        <v>25</v>
      </c>
      <c r="G10" s="15" t="s">
        <v>26</v>
      </c>
      <c r="H10" s="15">
        <f t="shared" si="1"/>
        <v>5</v>
      </c>
      <c r="I10" s="15">
        <f t="shared" si="2"/>
        <v>11</v>
      </c>
      <c r="J10" s="15">
        <f t="shared" si="3"/>
        <v>0</v>
      </c>
      <c r="K10" s="16">
        <f t="shared" si="4"/>
        <v>0</v>
      </c>
      <c r="L10" s="17" t="str">
        <f t="shared" ref="L10:M10" si="30">L$3</f>
        <v>00000645</v>
      </c>
      <c r="M10" s="18" t="str">
        <f t="shared" si="30"/>
        <v>801WC00000eKROQYA4</v>
      </c>
      <c r="N10" s="15" t="s">
        <v>13</v>
      </c>
      <c r="O10" s="19" t="s">
        <v>29</v>
      </c>
      <c r="P10" s="17" t="str">
        <f t="shared" ref="P10:Q10" si="31">P$3</f>
        <v>00000646</v>
      </c>
      <c r="Q10" s="15" t="str">
        <f t="shared" si="31"/>
        <v>801WC00000eJw9XYAS</v>
      </c>
      <c r="R10" s="15" t="s">
        <v>13</v>
      </c>
      <c r="S10" s="19" t="s">
        <v>29</v>
      </c>
      <c r="T10" s="17" t="str">
        <f t="shared" ref="T10:U10" si="32">T$3</f>
        <v>00000662</v>
      </c>
      <c r="U10" s="18" t="str">
        <f t="shared" si="32"/>
        <v>801WC00000eLFprYAG</v>
      </c>
      <c r="V10" s="20" t="s">
        <v>13</v>
      </c>
      <c r="W10" s="21" t="s">
        <v>29</v>
      </c>
      <c r="X10" s="17" t="str">
        <f t="shared" si="12"/>
        <v>801WC00000eLFprYAG</v>
      </c>
      <c r="Y10" s="20" t="s">
        <v>13</v>
      </c>
      <c r="Z10" s="21" t="s">
        <v>29</v>
      </c>
      <c r="AA10" s="22" t="s">
        <v>15</v>
      </c>
      <c r="AB10" s="17" t="str">
        <f t="shared" ref="AB10:AC10" si="33">AB$3</f>
        <v>801WC00000eLFprYAG</v>
      </c>
      <c r="AC10" s="18" t="str">
        <f t="shared" si="33"/>
        <v>Success</v>
      </c>
      <c r="AD10" s="25" t="s">
        <v>29</v>
      </c>
      <c r="AE10" s="25" t="s">
        <v>29</v>
      </c>
    </row>
    <row r="11">
      <c r="A11" s="29"/>
      <c r="B11" s="30" t="s">
        <v>38</v>
      </c>
      <c r="C11" s="14" t="s">
        <v>22</v>
      </c>
      <c r="D11" s="31" t="s">
        <v>40</v>
      </c>
      <c r="E11" s="14" t="s">
        <v>37</v>
      </c>
      <c r="F11" s="15" t="s">
        <v>25</v>
      </c>
      <c r="G11" s="15" t="s">
        <v>26</v>
      </c>
      <c r="H11" s="15">
        <f t="shared" si="1"/>
        <v>5</v>
      </c>
      <c r="I11" s="15">
        <f t="shared" si="2"/>
        <v>11</v>
      </c>
      <c r="J11" s="15">
        <f t="shared" si="3"/>
        <v>0</v>
      </c>
      <c r="K11" s="16">
        <f t="shared" si="4"/>
        <v>0</v>
      </c>
      <c r="L11" s="17" t="str">
        <f t="shared" ref="L11:M11" si="34">L$3</f>
        <v>00000645</v>
      </c>
      <c r="M11" s="18" t="str">
        <f t="shared" si="34"/>
        <v>801WC00000eKROQYA4</v>
      </c>
      <c r="N11" s="15" t="s">
        <v>13</v>
      </c>
      <c r="O11" s="19" t="s">
        <v>29</v>
      </c>
      <c r="P11" s="17" t="str">
        <f t="shared" ref="P11:Q11" si="35">P$3</f>
        <v>00000646</v>
      </c>
      <c r="Q11" s="15" t="str">
        <f t="shared" si="35"/>
        <v>801WC00000eJw9XYAS</v>
      </c>
      <c r="R11" s="15" t="s">
        <v>13</v>
      </c>
      <c r="S11" s="19" t="s">
        <v>29</v>
      </c>
      <c r="T11" s="17" t="str">
        <f t="shared" ref="T11:U11" si="36">T$3</f>
        <v>00000662</v>
      </c>
      <c r="U11" s="18" t="str">
        <f t="shared" si="36"/>
        <v>801WC00000eLFprYAG</v>
      </c>
      <c r="V11" s="20" t="s">
        <v>13</v>
      </c>
      <c r="W11" s="21" t="s">
        <v>29</v>
      </c>
      <c r="X11" s="17" t="str">
        <f t="shared" si="12"/>
        <v>801WC00000eLFprYAG</v>
      </c>
      <c r="Y11" s="20" t="s">
        <v>13</v>
      </c>
      <c r="Z11" s="21" t="s">
        <v>29</v>
      </c>
      <c r="AA11" s="22" t="s">
        <v>15</v>
      </c>
      <c r="AB11" s="17" t="str">
        <f t="shared" ref="AB11:AC11" si="37">AB$3</f>
        <v>801WC00000eLFprYAG</v>
      </c>
      <c r="AC11" s="18" t="str">
        <f t="shared" si="37"/>
        <v>Success</v>
      </c>
      <c r="AD11" s="25" t="s">
        <v>29</v>
      </c>
      <c r="AE11" s="25" t="s">
        <v>29</v>
      </c>
    </row>
    <row r="12">
      <c r="A12" s="29"/>
      <c r="B12" s="30" t="s">
        <v>38</v>
      </c>
      <c r="C12" s="14" t="s">
        <v>22</v>
      </c>
      <c r="D12" s="32" t="s">
        <v>41</v>
      </c>
      <c r="E12" s="14" t="s">
        <v>24</v>
      </c>
      <c r="F12" s="15" t="s">
        <v>25</v>
      </c>
      <c r="G12" s="15" t="s">
        <v>26</v>
      </c>
      <c r="H12" s="15">
        <f t="shared" si="1"/>
        <v>5</v>
      </c>
      <c r="I12" s="15">
        <f t="shared" si="2"/>
        <v>8</v>
      </c>
      <c r="J12" s="15">
        <f t="shared" si="3"/>
        <v>3</v>
      </c>
      <c r="K12" s="16">
        <f t="shared" si="4"/>
        <v>0</v>
      </c>
      <c r="L12" s="17" t="str">
        <f t="shared" ref="L12:M12" si="38">L$3</f>
        <v>00000645</v>
      </c>
      <c r="M12" s="18" t="str">
        <f t="shared" si="38"/>
        <v>801WC00000eKROQYA4</v>
      </c>
      <c r="N12" s="15" t="s">
        <v>13</v>
      </c>
      <c r="O12" s="19" t="s">
        <v>29</v>
      </c>
      <c r="P12" s="17" t="str">
        <f t="shared" ref="P12:Q12" si="39">P$3</f>
        <v>00000646</v>
      </c>
      <c r="Q12" s="15" t="str">
        <f t="shared" si="39"/>
        <v>801WC00000eJw9XYAS</v>
      </c>
      <c r="R12" s="15" t="s">
        <v>42</v>
      </c>
      <c r="S12" s="19" t="s">
        <v>42</v>
      </c>
      <c r="T12" s="17" t="str">
        <f t="shared" ref="T12:U12" si="40">T$3</f>
        <v>00000662</v>
      </c>
      <c r="U12" s="18" t="str">
        <f t="shared" si="40"/>
        <v>801WC00000eLFprYAG</v>
      </c>
      <c r="V12" s="20" t="s">
        <v>42</v>
      </c>
      <c r="W12" s="21" t="s">
        <v>29</v>
      </c>
      <c r="X12" s="17" t="str">
        <f t="shared" si="12"/>
        <v>801WC00000eLFprYAG</v>
      </c>
      <c r="Y12" s="20" t="s">
        <v>13</v>
      </c>
      <c r="Z12" s="21" t="s">
        <v>29</v>
      </c>
      <c r="AA12" s="22" t="s">
        <v>15</v>
      </c>
      <c r="AB12" s="17" t="str">
        <f t="shared" ref="AB12:AC12" si="41">AB$3</f>
        <v>801WC00000eLFprYAG</v>
      </c>
      <c r="AC12" s="18" t="str">
        <f t="shared" si="41"/>
        <v>Success</v>
      </c>
      <c r="AD12" s="25" t="s">
        <v>29</v>
      </c>
      <c r="AE12" s="25" t="s">
        <v>29</v>
      </c>
    </row>
    <row r="13">
      <c r="A13" s="29"/>
      <c r="B13" s="30" t="s">
        <v>38</v>
      </c>
      <c r="C13" s="14" t="s">
        <v>22</v>
      </c>
      <c r="D13" s="32" t="s">
        <v>41</v>
      </c>
      <c r="E13" s="26" t="s">
        <v>35</v>
      </c>
      <c r="F13" s="15" t="s">
        <v>25</v>
      </c>
      <c r="G13" s="15" t="s">
        <v>26</v>
      </c>
      <c r="H13" s="15">
        <f t="shared" si="1"/>
        <v>5</v>
      </c>
      <c r="I13" s="15">
        <f t="shared" si="2"/>
        <v>8</v>
      </c>
      <c r="J13" s="15">
        <f t="shared" si="3"/>
        <v>3</v>
      </c>
      <c r="K13" s="16">
        <f t="shared" si="4"/>
        <v>0</v>
      </c>
      <c r="L13" s="17" t="str">
        <f t="shared" ref="L13:M13" si="42">L$3</f>
        <v>00000645</v>
      </c>
      <c r="M13" s="18" t="str">
        <f t="shared" si="42"/>
        <v>801WC00000eKROQYA4</v>
      </c>
      <c r="N13" s="15" t="s">
        <v>13</v>
      </c>
      <c r="O13" s="19" t="s">
        <v>29</v>
      </c>
      <c r="P13" s="17" t="str">
        <f t="shared" ref="P13:Q13" si="43">P$3</f>
        <v>00000646</v>
      </c>
      <c r="Q13" s="15" t="str">
        <f t="shared" si="43"/>
        <v>801WC00000eJw9XYAS</v>
      </c>
      <c r="R13" s="15" t="s">
        <v>42</v>
      </c>
      <c r="S13" s="19" t="s">
        <v>42</v>
      </c>
      <c r="T13" s="17" t="str">
        <f t="shared" ref="T13:U13" si="44">T$3</f>
        <v>00000662</v>
      </c>
      <c r="U13" s="18" t="str">
        <f t="shared" si="44"/>
        <v>801WC00000eLFprYAG</v>
      </c>
      <c r="V13" s="20" t="s">
        <v>42</v>
      </c>
      <c r="W13" s="21" t="s">
        <v>29</v>
      </c>
      <c r="X13" s="17" t="str">
        <f t="shared" si="12"/>
        <v>801WC00000eLFprYAG</v>
      </c>
      <c r="Y13" s="20" t="s">
        <v>13</v>
      </c>
      <c r="Z13" s="21" t="s">
        <v>29</v>
      </c>
      <c r="AA13" s="22" t="s">
        <v>15</v>
      </c>
      <c r="AB13" s="17" t="str">
        <f t="shared" ref="AB13:AC13" si="45">AB$3</f>
        <v>801WC00000eLFprYAG</v>
      </c>
      <c r="AC13" s="18" t="str">
        <f t="shared" si="45"/>
        <v>Success</v>
      </c>
      <c r="AD13" s="25" t="s">
        <v>29</v>
      </c>
      <c r="AE13" s="25" t="s">
        <v>29</v>
      </c>
    </row>
    <row r="14">
      <c r="A14" s="29"/>
      <c r="B14" s="30" t="s">
        <v>38</v>
      </c>
      <c r="C14" s="14" t="s">
        <v>22</v>
      </c>
      <c r="D14" s="32" t="s">
        <v>41</v>
      </c>
      <c r="E14" s="14" t="s">
        <v>37</v>
      </c>
      <c r="F14" s="15" t="s">
        <v>25</v>
      </c>
      <c r="G14" s="15" t="s">
        <v>26</v>
      </c>
      <c r="H14" s="15">
        <f t="shared" si="1"/>
        <v>5</v>
      </c>
      <c r="I14" s="15">
        <f t="shared" si="2"/>
        <v>8</v>
      </c>
      <c r="J14" s="15">
        <f t="shared" si="3"/>
        <v>3</v>
      </c>
      <c r="K14" s="16">
        <f t="shared" si="4"/>
        <v>0</v>
      </c>
      <c r="L14" s="17" t="str">
        <f t="shared" ref="L14:M14" si="46">L$3</f>
        <v>00000645</v>
      </c>
      <c r="M14" s="18" t="str">
        <f t="shared" si="46"/>
        <v>801WC00000eKROQYA4</v>
      </c>
      <c r="N14" s="15" t="s">
        <v>13</v>
      </c>
      <c r="O14" s="19" t="s">
        <v>29</v>
      </c>
      <c r="P14" s="23" t="str">
        <f t="shared" ref="P14:Q14" si="47">P$3</f>
        <v>00000646</v>
      </c>
      <c r="Q14" s="15" t="str">
        <f t="shared" si="47"/>
        <v>801WC00000eJw9XYAS</v>
      </c>
      <c r="R14" s="15" t="s">
        <v>42</v>
      </c>
      <c r="S14" s="19" t="s">
        <v>42</v>
      </c>
      <c r="T14" s="23" t="str">
        <f t="shared" ref="T14:U14" si="48">T$3</f>
        <v>00000662</v>
      </c>
      <c r="U14" s="18" t="str">
        <f t="shared" si="48"/>
        <v>801WC00000eLFprYAG</v>
      </c>
      <c r="V14" s="20" t="s">
        <v>42</v>
      </c>
      <c r="W14" s="21" t="s">
        <v>29</v>
      </c>
      <c r="X14" s="23" t="str">
        <f t="shared" si="12"/>
        <v>801WC00000eLFprYAG</v>
      </c>
      <c r="Y14" s="20" t="s">
        <v>13</v>
      </c>
      <c r="Z14" s="21" t="s">
        <v>29</v>
      </c>
      <c r="AA14" s="22" t="s">
        <v>15</v>
      </c>
      <c r="AB14" s="23" t="str">
        <f t="shared" ref="AB14:AC14" si="49">AB$3</f>
        <v>801WC00000eLFprYAG</v>
      </c>
      <c r="AC14" s="18" t="str">
        <f t="shared" si="49"/>
        <v>Success</v>
      </c>
      <c r="AD14" s="25" t="s">
        <v>29</v>
      </c>
      <c r="AE14" s="25" t="s">
        <v>29</v>
      </c>
    </row>
    <row r="15">
      <c r="A15" s="12" t="s">
        <v>43</v>
      </c>
      <c r="B15" s="30" t="s">
        <v>44</v>
      </c>
      <c r="C15" s="33" t="s">
        <v>23</v>
      </c>
      <c r="D15" s="33" t="s">
        <v>22</v>
      </c>
      <c r="E15" s="15" t="s">
        <v>45</v>
      </c>
      <c r="F15" s="15" t="s">
        <v>26</v>
      </c>
      <c r="G15" s="15" t="s">
        <v>25</v>
      </c>
      <c r="H15" s="15">
        <f t="shared" si="1"/>
        <v>5</v>
      </c>
      <c r="I15" s="15">
        <f t="shared" si="2"/>
        <v>2</v>
      </c>
      <c r="J15" s="15">
        <f t="shared" si="3"/>
        <v>0</v>
      </c>
      <c r="K15" s="16"/>
      <c r="L15" s="17" t="str">
        <f t="shared" ref="L15:M15" si="50">L$3</f>
        <v>00000645</v>
      </c>
      <c r="M15" s="18" t="str">
        <f t="shared" si="50"/>
        <v>801WC00000eKROQYA4</v>
      </c>
      <c r="N15" s="15" t="s">
        <v>13</v>
      </c>
      <c r="O15" s="19" t="s">
        <v>29</v>
      </c>
      <c r="P15" s="23"/>
      <c r="Q15" s="34"/>
      <c r="R15" s="15" t="s">
        <v>15</v>
      </c>
      <c r="S15" s="22" t="s">
        <v>15</v>
      </c>
      <c r="T15" s="23"/>
      <c r="U15" s="24"/>
      <c r="V15" s="25" t="s">
        <v>15</v>
      </c>
      <c r="W15" s="35" t="s">
        <v>15</v>
      </c>
      <c r="X15" s="36"/>
      <c r="Y15" s="34"/>
      <c r="Z15" s="15" t="s">
        <v>15</v>
      </c>
      <c r="AA15" s="22" t="s">
        <v>15</v>
      </c>
      <c r="AB15" s="36"/>
      <c r="AC15" s="34"/>
      <c r="AD15" s="28" t="s">
        <v>15</v>
      </c>
      <c r="AE15" s="37" t="s">
        <v>15</v>
      </c>
    </row>
    <row r="16">
      <c r="A16" s="12" t="s">
        <v>46</v>
      </c>
      <c r="B16" s="30" t="s">
        <v>44</v>
      </c>
      <c r="C16" s="33" t="s">
        <v>23</v>
      </c>
      <c r="D16" s="33" t="s">
        <v>22</v>
      </c>
      <c r="E16" s="15" t="s">
        <v>47</v>
      </c>
      <c r="F16" s="15" t="s">
        <v>26</v>
      </c>
      <c r="G16" s="15" t="s">
        <v>25</v>
      </c>
      <c r="H16" s="15">
        <f t="shared" si="1"/>
        <v>5</v>
      </c>
      <c r="I16" s="15">
        <f t="shared" si="2"/>
        <v>1</v>
      </c>
      <c r="J16" s="15">
        <f t="shared" si="3"/>
        <v>0</v>
      </c>
      <c r="K16" s="16"/>
      <c r="L16" s="17" t="str">
        <f t="shared" ref="L16:M16" si="51">L$3</f>
        <v>00000645</v>
      </c>
      <c r="M16" s="18" t="str">
        <f t="shared" si="51"/>
        <v>801WC00000eKROQYA4</v>
      </c>
      <c r="N16" s="15"/>
      <c r="O16" s="19" t="s">
        <v>29</v>
      </c>
      <c r="P16" s="23"/>
      <c r="Q16" s="34"/>
      <c r="R16" s="15" t="s">
        <v>15</v>
      </c>
      <c r="S16" s="22" t="s">
        <v>15</v>
      </c>
      <c r="T16" s="23"/>
      <c r="U16" s="24"/>
      <c r="V16" s="25" t="s">
        <v>15</v>
      </c>
      <c r="W16" s="35" t="s">
        <v>15</v>
      </c>
      <c r="X16" s="36"/>
      <c r="Y16" s="34"/>
      <c r="Z16" s="15" t="s">
        <v>15</v>
      </c>
      <c r="AA16" s="22" t="s">
        <v>15</v>
      </c>
      <c r="AB16" s="36"/>
      <c r="AC16" s="34"/>
      <c r="AD16" s="28" t="s">
        <v>15</v>
      </c>
      <c r="AE16" s="37" t="s">
        <v>15</v>
      </c>
    </row>
    <row r="17">
      <c r="A17" s="38"/>
      <c r="B17" s="39" t="s">
        <v>48</v>
      </c>
      <c r="C17" s="33" t="s">
        <v>23</v>
      </c>
      <c r="D17" s="31" t="s">
        <v>39</v>
      </c>
      <c r="E17" s="15" t="s">
        <v>45</v>
      </c>
      <c r="F17" s="15" t="s">
        <v>26</v>
      </c>
      <c r="G17" s="15" t="s">
        <v>26</v>
      </c>
      <c r="H17" s="15">
        <f t="shared" si="1"/>
        <v>5</v>
      </c>
      <c r="I17" s="15">
        <f t="shared" si="2"/>
        <v>0</v>
      </c>
      <c r="J17" s="15">
        <f t="shared" si="3"/>
        <v>0</v>
      </c>
      <c r="K17" s="16"/>
      <c r="L17" s="23"/>
      <c r="M17" s="24"/>
      <c r="N17" s="15" t="s">
        <v>15</v>
      </c>
      <c r="O17" s="22" t="s">
        <v>15</v>
      </c>
      <c r="P17" s="23"/>
      <c r="Q17" s="34"/>
      <c r="R17" s="15" t="s">
        <v>15</v>
      </c>
      <c r="S17" s="22" t="s">
        <v>15</v>
      </c>
      <c r="T17" s="23"/>
      <c r="U17" s="24"/>
      <c r="V17" s="25" t="s">
        <v>15</v>
      </c>
      <c r="W17" s="35" t="s">
        <v>15</v>
      </c>
      <c r="X17" s="36"/>
      <c r="Y17" s="34"/>
      <c r="Z17" s="15" t="s">
        <v>15</v>
      </c>
      <c r="AA17" s="22" t="s">
        <v>15</v>
      </c>
      <c r="AB17" s="36"/>
      <c r="AC17" s="34"/>
      <c r="AD17" s="28" t="s">
        <v>15</v>
      </c>
      <c r="AE17" s="37" t="s">
        <v>15</v>
      </c>
    </row>
    <row r="18">
      <c r="A18" s="38"/>
      <c r="B18" s="39" t="s">
        <v>48</v>
      </c>
      <c r="C18" s="33" t="s">
        <v>23</v>
      </c>
      <c r="D18" s="31" t="s">
        <v>39</v>
      </c>
      <c r="E18" s="15" t="s">
        <v>47</v>
      </c>
      <c r="F18" s="15" t="s">
        <v>26</v>
      </c>
      <c r="G18" s="15" t="s">
        <v>26</v>
      </c>
      <c r="H18" s="15">
        <f t="shared" si="1"/>
        <v>5</v>
      </c>
      <c r="I18" s="15">
        <f t="shared" si="2"/>
        <v>0</v>
      </c>
      <c r="J18" s="15">
        <f t="shared" si="3"/>
        <v>0</v>
      </c>
      <c r="K18" s="16"/>
      <c r="L18" s="23"/>
      <c r="M18" s="24"/>
      <c r="N18" s="15" t="s">
        <v>15</v>
      </c>
      <c r="O18" s="22" t="s">
        <v>15</v>
      </c>
      <c r="P18" s="23"/>
      <c r="Q18" s="34"/>
      <c r="R18" s="15" t="s">
        <v>15</v>
      </c>
      <c r="S18" s="22" t="s">
        <v>15</v>
      </c>
      <c r="T18" s="23"/>
      <c r="U18" s="24"/>
      <c r="V18" s="25" t="s">
        <v>15</v>
      </c>
      <c r="W18" s="35" t="s">
        <v>15</v>
      </c>
      <c r="X18" s="36"/>
      <c r="Y18" s="34"/>
      <c r="Z18" s="15" t="s">
        <v>15</v>
      </c>
      <c r="AA18" s="22" t="s">
        <v>15</v>
      </c>
      <c r="AB18" s="36"/>
      <c r="AC18" s="34"/>
      <c r="AD18" s="28" t="s">
        <v>15</v>
      </c>
      <c r="AE18" s="37" t="s">
        <v>15</v>
      </c>
    </row>
    <row r="19">
      <c r="A19" s="38"/>
      <c r="B19" s="39" t="s">
        <v>48</v>
      </c>
      <c r="C19" s="33" t="s">
        <v>23</v>
      </c>
      <c r="D19" s="31" t="s">
        <v>40</v>
      </c>
      <c r="E19" s="15" t="s">
        <v>45</v>
      </c>
      <c r="F19" s="15" t="s">
        <v>26</v>
      </c>
      <c r="G19" s="15" t="s">
        <v>26</v>
      </c>
      <c r="H19" s="15">
        <f t="shared" si="1"/>
        <v>5</v>
      </c>
      <c r="I19" s="15">
        <f t="shared" si="2"/>
        <v>0</v>
      </c>
      <c r="J19" s="15">
        <f t="shared" si="3"/>
        <v>0</v>
      </c>
      <c r="K19" s="16"/>
      <c r="L19" s="23"/>
      <c r="M19" s="24"/>
      <c r="N19" s="15" t="s">
        <v>15</v>
      </c>
      <c r="O19" s="22" t="s">
        <v>15</v>
      </c>
      <c r="P19" s="23"/>
      <c r="Q19" s="34"/>
      <c r="R19" s="15" t="s">
        <v>15</v>
      </c>
      <c r="S19" s="22" t="s">
        <v>15</v>
      </c>
      <c r="T19" s="23"/>
      <c r="U19" s="24"/>
      <c r="V19" s="25" t="s">
        <v>15</v>
      </c>
      <c r="W19" s="35" t="s">
        <v>15</v>
      </c>
      <c r="X19" s="36"/>
      <c r="Y19" s="34"/>
      <c r="Z19" s="15" t="s">
        <v>15</v>
      </c>
      <c r="AA19" s="22" t="s">
        <v>15</v>
      </c>
      <c r="AB19" s="36"/>
      <c r="AC19" s="34"/>
      <c r="AD19" s="28" t="s">
        <v>15</v>
      </c>
      <c r="AE19" s="37" t="s">
        <v>15</v>
      </c>
    </row>
    <row r="20">
      <c r="A20" s="38"/>
      <c r="B20" s="39" t="s">
        <v>48</v>
      </c>
      <c r="C20" s="33" t="s">
        <v>23</v>
      </c>
      <c r="D20" s="31" t="s">
        <v>40</v>
      </c>
      <c r="E20" s="15" t="s">
        <v>47</v>
      </c>
      <c r="F20" s="15" t="s">
        <v>26</v>
      </c>
      <c r="G20" s="15" t="s">
        <v>26</v>
      </c>
      <c r="H20" s="15">
        <f t="shared" si="1"/>
        <v>5</v>
      </c>
      <c r="I20" s="15">
        <f t="shared" si="2"/>
        <v>0</v>
      </c>
      <c r="J20" s="15">
        <f t="shared" si="3"/>
        <v>0</v>
      </c>
      <c r="K20" s="16"/>
      <c r="L20" s="23"/>
      <c r="M20" s="24"/>
      <c r="N20" s="15" t="s">
        <v>15</v>
      </c>
      <c r="O20" s="22" t="s">
        <v>15</v>
      </c>
      <c r="P20" s="23"/>
      <c r="Q20" s="34"/>
      <c r="R20" s="15" t="s">
        <v>15</v>
      </c>
      <c r="S20" s="22" t="s">
        <v>15</v>
      </c>
      <c r="T20" s="23"/>
      <c r="U20" s="24"/>
      <c r="V20" s="25" t="s">
        <v>15</v>
      </c>
      <c r="W20" s="35" t="s">
        <v>15</v>
      </c>
      <c r="X20" s="36"/>
      <c r="Y20" s="34"/>
      <c r="Z20" s="15" t="s">
        <v>15</v>
      </c>
      <c r="AA20" s="22" t="s">
        <v>15</v>
      </c>
      <c r="AB20" s="36"/>
      <c r="AC20" s="34"/>
      <c r="AD20" s="28" t="s">
        <v>15</v>
      </c>
      <c r="AE20" s="37" t="s">
        <v>15</v>
      </c>
    </row>
    <row r="21">
      <c r="A21" s="38"/>
      <c r="B21" s="39" t="s">
        <v>48</v>
      </c>
      <c r="C21" s="33" t="s">
        <v>23</v>
      </c>
      <c r="D21" s="31" t="s">
        <v>41</v>
      </c>
      <c r="E21" s="15" t="s">
        <v>45</v>
      </c>
      <c r="F21" s="15" t="s">
        <v>26</v>
      </c>
      <c r="G21" s="15" t="s">
        <v>26</v>
      </c>
      <c r="H21" s="15">
        <f t="shared" si="1"/>
        <v>5</v>
      </c>
      <c r="I21" s="15">
        <f t="shared" si="2"/>
        <v>0</v>
      </c>
      <c r="J21" s="15">
        <f t="shared" si="3"/>
        <v>0</v>
      </c>
      <c r="K21" s="16"/>
      <c r="L21" s="23"/>
      <c r="M21" s="24"/>
      <c r="N21" s="15" t="s">
        <v>15</v>
      </c>
      <c r="O21" s="22" t="s">
        <v>15</v>
      </c>
      <c r="P21" s="23"/>
      <c r="Q21" s="34"/>
      <c r="R21" s="15" t="s">
        <v>15</v>
      </c>
      <c r="S21" s="22" t="s">
        <v>15</v>
      </c>
      <c r="T21" s="23"/>
      <c r="U21" s="24"/>
      <c r="V21" s="25" t="s">
        <v>15</v>
      </c>
      <c r="W21" s="35" t="s">
        <v>15</v>
      </c>
      <c r="X21" s="36"/>
      <c r="Y21" s="34"/>
      <c r="Z21" s="15" t="s">
        <v>15</v>
      </c>
      <c r="AA21" s="22" t="s">
        <v>15</v>
      </c>
      <c r="AB21" s="36"/>
      <c r="AC21" s="34"/>
      <c r="AD21" s="28" t="s">
        <v>15</v>
      </c>
      <c r="AE21" s="37" t="s">
        <v>15</v>
      </c>
    </row>
    <row r="22">
      <c r="A22" s="38"/>
      <c r="B22" s="39" t="s">
        <v>48</v>
      </c>
      <c r="C22" s="33" t="s">
        <v>23</v>
      </c>
      <c r="D22" s="31" t="s">
        <v>41</v>
      </c>
      <c r="E22" s="15" t="s">
        <v>47</v>
      </c>
      <c r="F22" s="15" t="s">
        <v>26</v>
      </c>
      <c r="G22" s="15" t="s">
        <v>26</v>
      </c>
      <c r="H22" s="15">
        <f t="shared" si="1"/>
        <v>5</v>
      </c>
      <c r="I22" s="15">
        <f t="shared" si="2"/>
        <v>0</v>
      </c>
      <c r="J22" s="15">
        <f t="shared" si="3"/>
        <v>0</v>
      </c>
      <c r="K22" s="16"/>
      <c r="L22" s="17"/>
      <c r="M22" s="24"/>
      <c r="N22" s="15" t="s">
        <v>15</v>
      </c>
      <c r="O22" s="22" t="s">
        <v>15</v>
      </c>
      <c r="P22" s="17"/>
      <c r="Q22" s="34"/>
      <c r="R22" s="15" t="s">
        <v>15</v>
      </c>
      <c r="S22" s="22" t="s">
        <v>15</v>
      </c>
      <c r="T22" s="17"/>
      <c r="U22" s="24"/>
      <c r="V22" s="25" t="s">
        <v>15</v>
      </c>
      <c r="W22" s="35" t="s">
        <v>15</v>
      </c>
      <c r="X22" s="40"/>
      <c r="Y22" s="34"/>
      <c r="Z22" s="15" t="s">
        <v>15</v>
      </c>
      <c r="AA22" s="22" t="s">
        <v>15</v>
      </c>
      <c r="AB22" s="40"/>
      <c r="AC22" s="34"/>
      <c r="AD22" s="28" t="s">
        <v>15</v>
      </c>
      <c r="AE22" s="37" t="s">
        <v>15</v>
      </c>
    </row>
    <row r="23">
      <c r="A23" s="12" t="s">
        <v>49</v>
      </c>
      <c r="B23" s="30" t="s">
        <v>50</v>
      </c>
      <c r="C23" s="14" t="s">
        <v>22</v>
      </c>
      <c r="D23" s="31" t="s">
        <v>51</v>
      </c>
      <c r="E23" s="31" t="s">
        <v>24</v>
      </c>
      <c r="F23" s="15" t="s">
        <v>25</v>
      </c>
      <c r="G23" s="15" t="s">
        <v>26</v>
      </c>
      <c r="H23" s="15">
        <f t="shared" si="1"/>
        <v>5</v>
      </c>
      <c r="I23" s="15">
        <f t="shared" si="2"/>
        <v>4</v>
      </c>
      <c r="J23" s="15">
        <f t="shared" si="3"/>
        <v>0</v>
      </c>
      <c r="K23" s="16">
        <f t="shared" ref="K23:K25" si="55">COUNTIF(M23:U23,"To Be Conducted")</f>
        <v>4</v>
      </c>
      <c r="L23" s="17" t="str">
        <f t="shared" ref="L23:M23" si="52">L$3</f>
        <v>00000645</v>
      </c>
      <c r="M23" s="18" t="str">
        <f t="shared" si="52"/>
        <v>801WC00000eKROQYA4</v>
      </c>
      <c r="N23" s="15" t="s">
        <v>15</v>
      </c>
      <c r="O23" s="22" t="s">
        <v>15</v>
      </c>
      <c r="P23" s="17" t="str">
        <f t="shared" ref="P23:Q23" si="53">P$3</f>
        <v>00000646</v>
      </c>
      <c r="Q23" s="15" t="str">
        <f t="shared" si="53"/>
        <v>801WC00000eJw9XYAS</v>
      </c>
      <c r="R23" s="15" t="s">
        <v>15</v>
      </c>
      <c r="S23" s="22" t="s">
        <v>15</v>
      </c>
      <c r="T23" s="17" t="str">
        <f t="shared" ref="T23:U23" si="54">T$3</f>
        <v>00000662</v>
      </c>
      <c r="U23" s="18" t="str">
        <f t="shared" si="54"/>
        <v>801WC00000eLFprYAG</v>
      </c>
      <c r="V23" s="20" t="s">
        <v>13</v>
      </c>
      <c r="W23" s="21" t="s">
        <v>13</v>
      </c>
      <c r="X23" s="17" t="str">
        <f t="shared" ref="X23:X25" si="59">X$3</f>
        <v>801WC00000eLFprYAG</v>
      </c>
      <c r="Y23" s="21" t="s">
        <v>13</v>
      </c>
      <c r="Z23" s="15" t="s">
        <v>15</v>
      </c>
      <c r="AA23" s="22" t="s">
        <v>15</v>
      </c>
      <c r="AB23" s="17" t="str">
        <f t="shared" ref="AB23:AB25" si="60">AB$3</f>
        <v>801WC00000eLFprYAG</v>
      </c>
      <c r="AC23" s="21" t="s">
        <v>13</v>
      </c>
      <c r="AD23" s="28" t="s">
        <v>15</v>
      </c>
      <c r="AE23" s="37" t="s">
        <v>15</v>
      </c>
    </row>
    <row r="24">
      <c r="A24" s="41" t="s">
        <v>52</v>
      </c>
      <c r="B24" s="30" t="s">
        <v>50</v>
      </c>
      <c r="C24" s="14" t="s">
        <v>22</v>
      </c>
      <c r="D24" s="31" t="s">
        <v>51</v>
      </c>
      <c r="E24" s="31" t="s">
        <v>35</v>
      </c>
      <c r="F24" s="15" t="s">
        <v>25</v>
      </c>
      <c r="G24" s="15" t="s">
        <v>26</v>
      </c>
      <c r="H24" s="15">
        <f t="shared" si="1"/>
        <v>5</v>
      </c>
      <c r="I24" s="15">
        <f t="shared" si="2"/>
        <v>4</v>
      </c>
      <c r="J24" s="15">
        <f t="shared" si="3"/>
        <v>0</v>
      </c>
      <c r="K24" s="16">
        <f t="shared" si="55"/>
        <v>4</v>
      </c>
      <c r="L24" s="17" t="str">
        <f t="shared" ref="L24:M24" si="56">L$3</f>
        <v>00000645</v>
      </c>
      <c r="M24" s="18" t="str">
        <f t="shared" si="56"/>
        <v>801WC00000eKROQYA4</v>
      </c>
      <c r="N24" s="15" t="s">
        <v>15</v>
      </c>
      <c r="O24" s="22" t="s">
        <v>15</v>
      </c>
      <c r="P24" s="17" t="str">
        <f t="shared" ref="P24:Q24" si="57">P$3</f>
        <v>00000646</v>
      </c>
      <c r="Q24" s="15" t="str">
        <f t="shared" si="57"/>
        <v>801WC00000eJw9XYAS</v>
      </c>
      <c r="R24" s="15" t="s">
        <v>15</v>
      </c>
      <c r="S24" s="22" t="s">
        <v>15</v>
      </c>
      <c r="T24" s="17" t="str">
        <f t="shared" ref="T24:U24" si="58">T$3</f>
        <v>00000662</v>
      </c>
      <c r="U24" s="18" t="str">
        <f t="shared" si="58"/>
        <v>801WC00000eLFprYAG</v>
      </c>
      <c r="V24" s="20" t="s">
        <v>13</v>
      </c>
      <c r="W24" s="21" t="s">
        <v>13</v>
      </c>
      <c r="X24" s="17" t="str">
        <f t="shared" si="59"/>
        <v>801WC00000eLFprYAG</v>
      </c>
      <c r="Y24" s="21" t="s">
        <v>13</v>
      </c>
      <c r="Z24" s="15" t="s">
        <v>15</v>
      </c>
      <c r="AA24" s="22" t="s">
        <v>15</v>
      </c>
      <c r="AB24" s="17" t="str">
        <f t="shared" si="60"/>
        <v>801WC00000eLFprYAG</v>
      </c>
      <c r="AC24" s="21" t="s">
        <v>13</v>
      </c>
      <c r="AD24" s="28" t="s">
        <v>15</v>
      </c>
      <c r="AE24" s="37" t="s">
        <v>15</v>
      </c>
    </row>
    <row r="25">
      <c r="A25" s="12" t="s">
        <v>53</v>
      </c>
      <c r="B25" s="30" t="s">
        <v>50</v>
      </c>
      <c r="C25" s="14" t="s">
        <v>22</v>
      </c>
      <c r="D25" s="31" t="s">
        <v>51</v>
      </c>
      <c r="E25" s="31" t="s">
        <v>54</v>
      </c>
      <c r="F25" s="15" t="s">
        <v>25</v>
      </c>
      <c r="G25" s="15" t="s">
        <v>26</v>
      </c>
      <c r="H25" s="15">
        <f t="shared" si="1"/>
        <v>5</v>
      </c>
      <c r="I25" s="15">
        <f t="shared" si="2"/>
        <v>4</v>
      </c>
      <c r="J25" s="15">
        <f t="shared" si="3"/>
        <v>0</v>
      </c>
      <c r="K25" s="16">
        <f t="shared" si="55"/>
        <v>4</v>
      </c>
      <c r="L25" s="17" t="str">
        <f t="shared" ref="L25:M25" si="61">L$3</f>
        <v>00000645</v>
      </c>
      <c r="M25" s="18" t="str">
        <f t="shared" si="61"/>
        <v>801WC00000eKROQYA4</v>
      </c>
      <c r="N25" s="15" t="s">
        <v>15</v>
      </c>
      <c r="O25" s="22" t="s">
        <v>15</v>
      </c>
      <c r="P25" s="17" t="str">
        <f t="shared" ref="P25:Q25" si="62">P$3</f>
        <v>00000646</v>
      </c>
      <c r="Q25" s="15" t="str">
        <f t="shared" si="62"/>
        <v>801WC00000eJw9XYAS</v>
      </c>
      <c r="R25" s="15" t="s">
        <v>15</v>
      </c>
      <c r="S25" s="22" t="s">
        <v>15</v>
      </c>
      <c r="T25" s="17" t="str">
        <f t="shared" ref="T25:U25" si="63">T$3</f>
        <v>00000662</v>
      </c>
      <c r="U25" s="18" t="str">
        <f t="shared" si="63"/>
        <v>801WC00000eLFprYAG</v>
      </c>
      <c r="V25" s="20" t="s">
        <v>13</v>
      </c>
      <c r="W25" s="21" t="s">
        <v>13</v>
      </c>
      <c r="X25" s="17" t="str">
        <f t="shared" si="59"/>
        <v>801WC00000eLFprYAG</v>
      </c>
      <c r="Y25" s="21" t="s">
        <v>13</v>
      </c>
      <c r="Z25" s="15" t="s">
        <v>15</v>
      </c>
      <c r="AA25" s="22" t="s">
        <v>15</v>
      </c>
      <c r="AB25" s="17" t="str">
        <f t="shared" si="60"/>
        <v>801WC00000eLFprYAG</v>
      </c>
      <c r="AC25" s="21" t="s">
        <v>13</v>
      </c>
      <c r="AD25" s="28" t="s">
        <v>15</v>
      </c>
      <c r="AE25" s="37" t="s">
        <v>15</v>
      </c>
    </row>
    <row r="26">
      <c r="A26" s="42" t="s">
        <v>55</v>
      </c>
      <c r="B26" s="39" t="s">
        <v>56</v>
      </c>
      <c r="C26" s="33" t="s">
        <v>57</v>
      </c>
      <c r="D26" s="33" t="s">
        <v>23</v>
      </c>
      <c r="E26" s="15" t="s">
        <v>58</v>
      </c>
      <c r="F26" s="15" t="s">
        <v>59</v>
      </c>
      <c r="G26" s="15" t="s">
        <v>26</v>
      </c>
      <c r="H26" s="15">
        <f t="shared" si="1"/>
        <v>5</v>
      </c>
      <c r="I26" s="15">
        <f t="shared" si="2"/>
        <v>0</v>
      </c>
      <c r="J26" s="15">
        <f t="shared" si="3"/>
        <v>0</v>
      </c>
      <c r="K26" s="16"/>
      <c r="L26" s="23"/>
      <c r="M26" s="24"/>
      <c r="N26" s="15" t="s">
        <v>15</v>
      </c>
      <c r="O26" s="22" t="s">
        <v>15</v>
      </c>
      <c r="P26" s="23"/>
      <c r="Q26" s="34"/>
      <c r="R26" s="15" t="s">
        <v>15</v>
      </c>
      <c r="S26" s="22" t="s">
        <v>15</v>
      </c>
      <c r="T26" s="23"/>
      <c r="U26" s="24"/>
      <c r="V26" s="25" t="s">
        <v>15</v>
      </c>
      <c r="W26" s="35" t="s">
        <v>15</v>
      </c>
      <c r="X26" s="36"/>
      <c r="Y26" s="34"/>
      <c r="Z26" s="15" t="s">
        <v>15</v>
      </c>
      <c r="AA26" s="22" t="s">
        <v>15</v>
      </c>
      <c r="AB26" s="36"/>
      <c r="AC26" s="34"/>
      <c r="AD26" s="28" t="s">
        <v>15</v>
      </c>
      <c r="AE26" s="37" t="s">
        <v>15</v>
      </c>
    </row>
    <row r="27">
      <c r="A27" s="43" t="s">
        <v>60</v>
      </c>
      <c r="B27" s="39" t="s">
        <v>61</v>
      </c>
      <c r="C27" s="33" t="s">
        <v>51</v>
      </c>
      <c r="D27" s="33" t="s">
        <v>22</v>
      </c>
      <c r="E27" s="15" t="s">
        <v>62</v>
      </c>
      <c r="F27" s="15" t="s">
        <v>26</v>
      </c>
      <c r="G27" s="15" t="s">
        <v>26</v>
      </c>
      <c r="H27" s="15">
        <f t="shared" si="1"/>
        <v>5</v>
      </c>
      <c r="I27" s="15">
        <f t="shared" si="2"/>
        <v>0</v>
      </c>
      <c r="J27" s="15">
        <f t="shared" si="3"/>
        <v>0</v>
      </c>
      <c r="K27" s="16"/>
      <c r="L27" s="23"/>
      <c r="M27" s="24"/>
      <c r="N27" s="15" t="s">
        <v>15</v>
      </c>
      <c r="O27" s="44" t="s">
        <v>15</v>
      </c>
      <c r="P27" s="23"/>
      <c r="Q27" s="34"/>
      <c r="R27" s="15" t="s">
        <v>15</v>
      </c>
      <c r="S27" s="44" t="s">
        <v>15</v>
      </c>
      <c r="T27" s="23"/>
      <c r="U27" s="24"/>
      <c r="V27" s="25" t="s">
        <v>15</v>
      </c>
      <c r="W27" s="35" t="s">
        <v>15</v>
      </c>
      <c r="X27" s="36"/>
      <c r="Y27" s="34"/>
      <c r="Z27" s="15" t="s">
        <v>15</v>
      </c>
      <c r="AA27" s="44" t="s">
        <v>15</v>
      </c>
      <c r="AB27" s="36"/>
      <c r="AC27" s="34"/>
      <c r="AD27" s="28" t="s">
        <v>15</v>
      </c>
      <c r="AE27" s="37" t="s">
        <v>15</v>
      </c>
    </row>
    <row r="28">
      <c r="A28" s="45"/>
      <c r="B28" s="45"/>
      <c r="C28" s="46"/>
      <c r="D28" s="46"/>
      <c r="E28" s="47"/>
      <c r="F28" s="47"/>
      <c r="G28" s="47"/>
      <c r="H28" s="34">
        <f t="shared" ref="H28:K28" si="64">SUM(H3:H27)</f>
        <v>125</v>
      </c>
      <c r="I28" s="34">
        <f t="shared" si="64"/>
        <v>138</v>
      </c>
      <c r="J28" s="34">
        <f t="shared" si="64"/>
        <v>9</v>
      </c>
      <c r="K28" s="48">
        <f t="shared" si="64"/>
        <v>12</v>
      </c>
      <c r="L28" s="49"/>
      <c r="P28" s="50" t="s">
        <v>63</v>
      </c>
      <c r="T28" s="49"/>
      <c r="X28" s="49"/>
      <c r="AB28" s="49"/>
    </row>
    <row r="29">
      <c r="A29" s="45"/>
      <c r="B29" s="45"/>
      <c r="C29" s="46"/>
      <c r="D29" s="46"/>
      <c r="E29" s="47"/>
      <c r="F29" s="47"/>
      <c r="G29" s="51" t="s">
        <v>64</v>
      </c>
      <c r="H29" s="52">
        <f>I28/H28</f>
        <v>1.104</v>
      </c>
      <c r="I29" s="53"/>
      <c r="K29" s="54"/>
      <c r="L29" s="55"/>
      <c r="P29" s="55"/>
      <c r="T29" s="55"/>
      <c r="X29" s="55"/>
      <c r="AB29" s="55"/>
    </row>
    <row r="30">
      <c r="A30" s="45"/>
      <c r="B30" s="45"/>
      <c r="C30" s="46"/>
      <c r="D30" s="46"/>
      <c r="E30" s="47"/>
      <c r="F30" s="47"/>
      <c r="G30" s="51" t="s">
        <v>65</v>
      </c>
      <c r="H30" s="52">
        <f>I28/(J28+I28)</f>
        <v>0.9387755102</v>
      </c>
      <c r="I30" s="53"/>
      <c r="J30" s="54"/>
      <c r="K30" s="54"/>
      <c r="L30" s="55"/>
      <c r="P30" s="55"/>
      <c r="T30" s="55"/>
      <c r="X30" s="55"/>
      <c r="AB30" s="55"/>
    </row>
    <row r="31">
      <c r="A31" s="45"/>
      <c r="B31" s="45"/>
      <c r="C31" s="46"/>
      <c r="D31" s="46"/>
      <c r="E31" s="47"/>
      <c r="F31" s="47"/>
      <c r="G31" s="51" t="s">
        <v>66</v>
      </c>
      <c r="H31" s="56">
        <f>J28</f>
        <v>9</v>
      </c>
      <c r="I31" s="53"/>
      <c r="J31" s="54"/>
      <c r="K31" s="54"/>
      <c r="L31" s="55"/>
      <c r="P31" s="55"/>
      <c r="T31" s="55"/>
      <c r="X31" s="55"/>
      <c r="AB31" s="55"/>
    </row>
  </sheetData>
  <autoFilter ref="$B$2:$U$27">
    <sortState ref="B2:U27">
      <sortCondition ref="B2:B27"/>
    </sortState>
  </autoFilter>
  <mergeCells count="10">
    <mergeCell ref="T28:W31"/>
    <mergeCell ref="X28:AA31"/>
    <mergeCell ref="L1:O1"/>
    <mergeCell ref="P1:S1"/>
    <mergeCell ref="T1:W1"/>
    <mergeCell ref="X1:AA1"/>
    <mergeCell ref="AB1:AE1"/>
    <mergeCell ref="L28:O31"/>
    <mergeCell ref="P28:S31"/>
    <mergeCell ref="AB28:AE31"/>
  </mergeCells>
  <dataValidations>
    <dataValidation type="list" allowBlank="1" showErrorMessage="1" sqref="C3:D27">
      <formula1>"Certinia,D365,GlobalScape (Salesforce),HubSpot,Salesforce,Tripwire (Salesforce),Workday,TBD"</formula1>
    </dataValidation>
    <dataValidation type="list" allowBlank="1" showErrorMessage="1" sqref="Y3:AA14 Z15:AA22 AD3:AE22 Y23:AA25 AC23:AE25 N3:O27 R3:S27 V3:W27 Z26:AA27 AD26:AE27">
      <formula1>"To Be Conducted,Failure,Pending Validation,Success"</formula1>
    </dataValidation>
    <dataValidation type="list" allowBlank="1" showErrorMessage="1" sqref="F3:G27">
      <formula1>"Aaron Broom &amp; Ben Kozlowski,Joe Romo,TBD"</formula1>
    </dataValidation>
  </dataValidations>
  <hyperlinks>
    <hyperlink r:id="rId4" ref="A3"/>
    <hyperlink r:id="rId5" ref="A4"/>
    <hyperlink r:id="rId6" ref="A5"/>
    <hyperlink r:id="rId7" ref="A15"/>
    <hyperlink r:id="rId8" ref="A16"/>
    <hyperlink r:id="rId9" ref="A23"/>
    <hyperlink r:id="rId10" ref="A24"/>
    <hyperlink r:id="rId11" ref="A25"/>
    <hyperlink r:id="rId12" ref="A26"/>
    <hyperlink r:id="rId13" ref="A27"/>
  </hyperlinks>
  <drawing r:id="rId14"/>
  <legacy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20">
      <c r="B20" s="57">
        <f>sum(B8:B19)</f>
        <v>9</v>
      </c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6.38"/>
    <col customWidth="1" min="2" max="3" width="37.63"/>
    <col customWidth="1" min="4" max="4" width="10.5"/>
    <col customWidth="1" min="5" max="6" width="7.63"/>
    <col customWidth="1" min="7" max="7" width="7.0"/>
    <col customWidth="1" min="8" max="8" width="30.75"/>
    <col customWidth="1" min="9" max="9" width="21.25"/>
    <col customWidth="1" min="10" max="10" width="22.0"/>
    <col customWidth="1" min="11" max="18" width="20.5"/>
    <col customWidth="1" min="19" max="19" width="22.5"/>
  </cols>
  <sheetData>
    <row r="1">
      <c r="A1" s="58" t="s">
        <v>69</v>
      </c>
      <c r="B1" s="59"/>
      <c r="C1" s="59" t="s">
        <v>70</v>
      </c>
      <c r="D1" s="58" t="s">
        <v>71</v>
      </c>
      <c r="E1" s="58" t="s">
        <v>72</v>
      </c>
      <c r="F1" s="58" t="s">
        <v>73</v>
      </c>
      <c r="G1" s="58" t="s">
        <v>74</v>
      </c>
      <c r="H1" s="60" t="s">
        <v>75</v>
      </c>
      <c r="I1" s="61"/>
      <c r="J1" s="62" t="s">
        <v>76</v>
      </c>
      <c r="K1" s="62" t="s">
        <v>77</v>
      </c>
      <c r="L1" s="62" t="s">
        <v>78</v>
      </c>
      <c r="M1" s="62" t="s">
        <v>79</v>
      </c>
      <c r="N1" s="62" t="s">
        <v>80</v>
      </c>
      <c r="O1" s="62" t="s">
        <v>81</v>
      </c>
      <c r="P1" s="62" t="s">
        <v>82</v>
      </c>
      <c r="Q1" s="62" t="s">
        <v>83</v>
      </c>
      <c r="R1" s="62" t="s">
        <v>84</v>
      </c>
      <c r="S1" s="62" t="s">
        <v>85</v>
      </c>
    </row>
    <row r="2">
      <c r="A2" s="63">
        <v>1.0</v>
      </c>
      <c r="B2" s="15" t="s">
        <v>86</v>
      </c>
      <c r="C2" s="15" t="s">
        <v>87</v>
      </c>
      <c r="D2" s="63" t="s">
        <v>88</v>
      </c>
      <c r="E2" s="63">
        <v>10.0</v>
      </c>
      <c r="F2" s="63"/>
      <c r="G2" s="63"/>
      <c r="H2" s="64"/>
      <c r="I2" s="64"/>
      <c r="J2" s="34"/>
      <c r="K2" s="34"/>
      <c r="L2" s="34"/>
      <c r="M2" s="34"/>
      <c r="N2" s="34"/>
      <c r="O2" s="34"/>
      <c r="P2" s="34"/>
      <c r="Q2" s="34"/>
      <c r="R2" s="34"/>
      <c r="S2" s="34"/>
    </row>
    <row r="3">
      <c r="A3" s="63">
        <v>2.0</v>
      </c>
      <c r="B3" s="15" t="s">
        <v>86</v>
      </c>
      <c r="C3" s="15" t="s">
        <v>89</v>
      </c>
      <c r="D3" s="63" t="s">
        <v>88</v>
      </c>
      <c r="E3" s="63">
        <v>10.0</v>
      </c>
      <c r="F3" s="63"/>
      <c r="G3" s="63"/>
      <c r="H3" s="64"/>
      <c r="I3" s="64"/>
      <c r="J3" s="34"/>
      <c r="K3" s="34"/>
      <c r="L3" s="34"/>
      <c r="M3" s="34"/>
      <c r="N3" s="34"/>
      <c r="O3" s="34"/>
      <c r="P3" s="34"/>
      <c r="Q3" s="34"/>
      <c r="R3" s="34"/>
      <c r="S3" s="34"/>
    </row>
    <row r="4">
      <c r="A4" s="63">
        <v>3.0</v>
      </c>
      <c r="B4" s="15" t="s">
        <v>86</v>
      </c>
      <c r="C4" s="15" t="s">
        <v>90</v>
      </c>
      <c r="D4" s="63" t="s">
        <v>88</v>
      </c>
      <c r="E4" s="63">
        <v>10.0</v>
      </c>
      <c r="F4" s="63"/>
      <c r="G4" s="63"/>
      <c r="H4" s="65" t="s">
        <v>91</v>
      </c>
      <c r="I4" s="65" t="s">
        <v>92</v>
      </c>
      <c r="J4" s="34"/>
      <c r="K4" s="34"/>
      <c r="L4" s="34"/>
      <c r="M4" s="34"/>
      <c r="N4" s="34"/>
      <c r="O4" s="34"/>
      <c r="P4" s="34"/>
      <c r="Q4" s="34"/>
      <c r="R4" s="34"/>
      <c r="S4" s="34"/>
    </row>
    <row r="5">
      <c r="A5" s="63">
        <v>4.0</v>
      </c>
      <c r="B5" s="15" t="s">
        <v>86</v>
      </c>
      <c r="C5" s="15" t="s">
        <v>93</v>
      </c>
      <c r="D5" s="63"/>
      <c r="E5" s="63"/>
      <c r="F5" s="63"/>
      <c r="G5" s="66"/>
      <c r="H5" s="65" t="s">
        <v>94</v>
      </c>
      <c r="I5" s="64"/>
      <c r="J5" s="34"/>
      <c r="K5" s="34"/>
      <c r="L5" s="34"/>
      <c r="M5" s="34"/>
      <c r="N5" s="34"/>
      <c r="O5" s="34"/>
      <c r="P5" s="34"/>
      <c r="Q5" s="34"/>
      <c r="R5" s="34"/>
      <c r="S5" s="34"/>
    </row>
    <row r="6">
      <c r="A6" s="63"/>
      <c r="B6" s="15" t="s">
        <v>86</v>
      </c>
      <c r="C6" s="67" t="s">
        <v>95</v>
      </c>
      <c r="D6" s="63" t="s">
        <v>88</v>
      </c>
      <c r="E6" s="63">
        <v>10.0</v>
      </c>
      <c r="F6" s="63"/>
      <c r="G6" s="63"/>
      <c r="H6" s="65"/>
      <c r="I6" s="64"/>
      <c r="J6" s="34"/>
      <c r="K6" s="34"/>
      <c r="L6" s="34"/>
      <c r="M6" s="34"/>
      <c r="N6" s="34"/>
      <c r="O6" s="34"/>
      <c r="P6" s="34"/>
      <c r="Q6" s="34"/>
      <c r="R6" s="34"/>
      <c r="S6" s="34"/>
    </row>
    <row r="7">
      <c r="A7" s="63"/>
      <c r="B7" s="15" t="s">
        <v>86</v>
      </c>
      <c r="C7" s="67" t="s">
        <v>96</v>
      </c>
      <c r="D7" s="63" t="s">
        <v>88</v>
      </c>
      <c r="E7" s="63">
        <v>10.0</v>
      </c>
      <c r="F7" s="63"/>
      <c r="G7" s="63"/>
      <c r="H7" s="65"/>
      <c r="I7" s="64"/>
      <c r="J7" s="34"/>
      <c r="K7" s="34"/>
      <c r="L7" s="34"/>
      <c r="M7" s="34"/>
      <c r="N7" s="34"/>
      <c r="O7" s="34"/>
      <c r="P7" s="34"/>
      <c r="Q7" s="34"/>
      <c r="R7" s="34"/>
      <c r="S7" s="34"/>
    </row>
    <row r="8">
      <c r="A8" s="63"/>
      <c r="B8" s="15" t="s">
        <v>86</v>
      </c>
      <c r="C8" s="67" t="s">
        <v>39</v>
      </c>
      <c r="D8" s="63" t="s">
        <v>88</v>
      </c>
      <c r="E8" s="63">
        <v>10.0</v>
      </c>
      <c r="F8" s="63"/>
      <c r="G8" s="63"/>
      <c r="H8" s="65"/>
      <c r="I8" s="64"/>
      <c r="J8" s="34"/>
      <c r="K8" s="34"/>
      <c r="L8" s="34"/>
      <c r="M8" s="34"/>
      <c r="N8" s="34"/>
      <c r="O8" s="34"/>
      <c r="P8" s="34"/>
      <c r="Q8" s="34"/>
      <c r="R8" s="34"/>
      <c r="S8" s="34"/>
    </row>
    <row r="9">
      <c r="A9" s="63">
        <v>5.0</v>
      </c>
      <c r="B9" s="15" t="s">
        <v>86</v>
      </c>
      <c r="C9" s="15" t="s">
        <v>97</v>
      </c>
      <c r="D9" s="63"/>
      <c r="E9" s="63"/>
      <c r="F9" s="63"/>
      <c r="G9" s="66"/>
      <c r="H9" s="65" t="s">
        <v>94</v>
      </c>
      <c r="I9" s="64"/>
      <c r="J9" s="34"/>
      <c r="K9" s="34"/>
      <c r="L9" s="34"/>
      <c r="M9" s="34"/>
      <c r="N9" s="34"/>
      <c r="O9" s="34"/>
      <c r="P9" s="34"/>
      <c r="Q9" s="34"/>
      <c r="R9" s="34"/>
      <c r="S9" s="34"/>
    </row>
    <row r="10">
      <c r="A10" s="63"/>
      <c r="B10" s="15" t="s">
        <v>86</v>
      </c>
      <c r="C10" s="67" t="s">
        <v>95</v>
      </c>
      <c r="D10" s="63" t="s">
        <v>88</v>
      </c>
      <c r="E10" s="63">
        <v>10.0</v>
      </c>
      <c r="F10" s="63"/>
      <c r="G10" s="63"/>
      <c r="H10" s="65"/>
      <c r="I10" s="64"/>
      <c r="J10" s="34"/>
      <c r="K10" s="34"/>
      <c r="L10" s="34"/>
      <c r="M10" s="34"/>
      <c r="N10" s="34"/>
      <c r="O10" s="34"/>
      <c r="P10" s="34"/>
      <c r="Q10" s="34"/>
      <c r="R10" s="34"/>
      <c r="S10" s="34"/>
    </row>
    <row r="11">
      <c r="A11" s="63"/>
      <c r="B11" s="15" t="s">
        <v>86</v>
      </c>
      <c r="C11" s="67" t="s">
        <v>96</v>
      </c>
      <c r="D11" s="63" t="s">
        <v>88</v>
      </c>
      <c r="E11" s="63">
        <v>10.0</v>
      </c>
      <c r="F11" s="63"/>
      <c r="G11" s="63"/>
      <c r="H11" s="65"/>
      <c r="I11" s="64"/>
      <c r="J11" s="34"/>
      <c r="K11" s="34"/>
      <c r="L11" s="34"/>
      <c r="M11" s="34"/>
      <c r="N11" s="34"/>
      <c r="O11" s="34"/>
      <c r="P11" s="34"/>
      <c r="Q11" s="34"/>
      <c r="R11" s="34"/>
      <c r="S11" s="34"/>
    </row>
    <row r="12">
      <c r="A12" s="63"/>
      <c r="B12" s="15" t="s">
        <v>86</v>
      </c>
      <c r="C12" s="67" t="s">
        <v>39</v>
      </c>
      <c r="D12" s="63" t="s">
        <v>88</v>
      </c>
      <c r="E12" s="63">
        <v>10.0</v>
      </c>
      <c r="F12" s="63"/>
      <c r="G12" s="63"/>
      <c r="H12" s="65"/>
      <c r="I12" s="64"/>
      <c r="J12" s="34"/>
      <c r="K12" s="34"/>
      <c r="L12" s="34"/>
      <c r="M12" s="34"/>
      <c r="N12" s="34"/>
      <c r="O12" s="34"/>
      <c r="P12" s="34"/>
      <c r="Q12" s="34"/>
      <c r="R12" s="34"/>
      <c r="S12" s="34"/>
    </row>
    <row r="13">
      <c r="A13" s="63">
        <v>6.0</v>
      </c>
      <c r="B13" s="15" t="s">
        <v>86</v>
      </c>
      <c r="C13" s="15" t="s">
        <v>98</v>
      </c>
      <c r="D13" s="63"/>
      <c r="E13" s="63"/>
      <c r="F13" s="63"/>
      <c r="G13" s="66"/>
      <c r="H13" s="65" t="s">
        <v>94</v>
      </c>
      <c r="I13" s="64"/>
      <c r="J13" s="34"/>
      <c r="K13" s="34"/>
      <c r="L13" s="34"/>
      <c r="M13" s="34"/>
      <c r="N13" s="34"/>
      <c r="O13" s="34"/>
      <c r="P13" s="34"/>
      <c r="Q13" s="34"/>
      <c r="R13" s="34"/>
      <c r="S13" s="34"/>
    </row>
    <row r="14">
      <c r="A14" s="63"/>
      <c r="B14" s="15" t="s">
        <v>86</v>
      </c>
      <c r="C14" s="67" t="s">
        <v>95</v>
      </c>
      <c r="D14" s="63" t="s">
        <v>88</v>
      </c>
      <c r="E14" s="63">
        <v>10.0</v>
      </c>
      <c r="F14" s="63"/>
      <c r="G14" s="63"/>
      <c r="H14" s="64"/>
      <c r="I14" s="64"/>
      <c r="J14" s="34"/>
      <c r="K14" s="34"/>
      <c r="L14" s="34"/>
      <c r="M14" s="34"/>
      <c r="N14" s="34"/>
      <c r="O14" s="34"/>
      <c r="P14" s="34"/>
      <c r="Q14" s="34"/>
      <c r="R14" s="34"/>
      <c r="S14" s="34"/>
    </row>
    <row r="15">
      <c r="A15" s="63"/>
      <c r="B15" s="15" t="s">
        <v>86</v>
      </c>
      <c r="C15" s="67" t="s">
        <v>99</v>
      </c>
      <c r="D15" s="63" t="s">
        <v>88</v>
      </c>
      <c r="E15" s="63">
        <v>10.0</v>
      </c>
      <c r="F15" s="63"/>
      <c r="G15" s="63"/>
      <c r="H15" s="64"/>
      <c r="I15" s="64"/>
      <c r="J15" s="34"/>
      <c r="K15" s="34"/>
      <c r="L15" s="34"/>
      <c r="M15" s="34"/>
      <c r="N15" s="34"/>
      <c r="O15" s="34"/>
      <c r="P15" s="34"/>
      <c r="Q15" s="34"/>
      <c r="R15" s="34"/>
      <c r="S15" s="34"/>
    </row>
    <row r="16">
      <c r="A16" s="63"/>
      <c r="B16" s="15" t="s">
        <v>86</v>
      </c>
      <c r="C16" s="67" t="s">
        <v>39</v>
      </c>
      <c r="D16" s="63" t="s">
        <v>88</v>
      </c>
      <c r="E16" s="63">
        <v>10.0</v>
      </c>
      <c r="F16" s="63"/>
      <c r="G16" s="63"/>
      <c r="H16" s="64"/>
      <c r="I16" s="64"/>
      <c r="J16" s="34"/>
      <c r="K16" s="34"/>
      <c r="L16" s="34"/>
      <c r="M16" s="34"/>
      <c r="N16" s="34"/>
      <c r="O16" s="34"/>
      <c r="P16" s="34"/>
      <c r="Q16" s="34"/>
      <c r="R16" s="34"/>
      <c r="S16" s="34"/>
    </row>
    <row r="17">
      <c r="A17" s="63">
        <v>7.0</v>
      </c>
      <c r="B17" s="15"/>
      <c r="C17" s="15" t="s">
        <v>100</v>
      </c>
      <c r="D17" s="63" t="s">
        <v>88</v>
      </c>
      <c r="E17" s="63">
        <v>10.0</v>
      </c>
      <c r="F17" s="63"/>
      <c r="G17" s="63"/>
      <c r="H17" s="64"/>
      <c r="I17" s="64"/>
      <c r="J17" s="34"/>
      <c r="K17" s="34"/>
      <c r="L17" s="34"/>
      <c r="M17" s="34"/>
      <c r="N17" s="34"/>
      <c r="O17" s="34"/>
      <c r="P17" s="34"/>
      <c r="Q17" s="34"/>
      <c r="R17" s="34"/>
      <c r="S17" s="34"/>
    </row>
    <row r="18">
      <c r="A18" s="63">
        <v>8.0</v>
      </c>
      <c r="B18" s="15"/>
      <c r="C18" s="15" t="s">
        <v>101</v>
      </c>
      <c r="D18" s="63"/>
      <c r="E18" s="66"/>
      <c r="F18" s="66"/>
      <c r="G18" s="66"/>
      <c r="H18" s="64"/>
      <c r="I18" s="64"/>
      <c r="J18" s="34"/>
      <c r="K18" s="34"/>
      <c r="L18" s="34"/>
      <c r="M18" s="34"/>
      <c r="N18" s="34"/>
      <c r="O18" s="34"/>
      <c r="P18" s="34"/>
      <c r="Q18" s="34"/>
      <c r="R18" s="34"/>
      <c r="S18" s="34"/>
    </row>
    <row r="19">
      <c r="A19" s="63"/>
      <c r="B19" s="67"/>
      <c r="C19" s="67" t="s">
        <v>95</v>
      </c>
      <c r="D19" s="63" t="s">
        <v>88</v>
      </c>
      <c r="E19" s="63">
        <v>10.0</v>
      </c>
      <c r="F19" s="63"/>
      <c r="G19" s="66"/>
      <c r="H19" s="64"/>
      <c r="I19" s="64"/>
      <c r="J19" s="34"/>
      <c r="K19" s="34"/>
      <c r="L19" s="34"/>
      <c r="M19" s="34"/>
      <c r="N19" s="34"/>
      <c r="O19" s="34"/>
      <c r="P19" s="34"/>
      <c r="Q19" s="34"/>
      <c r="R19" s="34"/>
      <c r="S19" s="34"/>
    </row>
    <row r="20">
      <c r="A20" s="63"/>
      <c r="B20" s="67"/>
      <c r="C20" s="67" t="s">
        <v>99</v>
      </c>
      <c r="D20" s="63" t="s">
        <v>88</v>
      </c>
      <c r="E20" s="63">
        <v>10.0</v>
      </c>
      <c r="F20" s="63"/>
      <c r="G20" s="66"/>
      <c r="H20" s="64"/>
      <c r="I20" s="64"/>
      <c r="J20" s="34"/>
      <c r="K20" s="34"/>
      <c r="L20" s="34"/>
      <c r="M20" s="34"/>
      <c r="N20" s="34"/>
      <c r="O20" s="34"/>
      <c r="P20" s="34"/>
      <c r="Q20" s="34"/>
      <c r="R20" s="34"/>
      <c r="S20" s="34"/>
    </row>
    <row r="21">
      <c r="A21" s="63"/>
      <c r="B21" s="67"/>
      <c r="C21" s="67" t="s">
        <v>39</v>
      </c>
      <c r="D21" s="63" t="s">
        <v>88</v>
      </c>
      <c r="E21" s="63">
        <v>10.0</v>
      </c>
      <c r="F21" s="63"/>
      <c r="G21" s="66"/>
      <c r="H21" s="64"/>
      <c r="I21" s="64"/>
      <c r="J21" s="34"/>
      <c r="K21" s="34"/>
      <c r="L21" s="34"/>
      <c r="M21" s="34"/>
      <c r="N21" s="34"/>
      <c r="O21" s="34"/>
      <c r="P21" s="34"/>
      <c r="Q21" s="34"/>
      <c r="R21" s="34"/>
      <c r="S21" s="34"/>
    </row>
    <row r="22">
      <c r="A22" s="63">
        <v>9.0</v>
      </c>
      <c r="B22" s="15"/>
      <c r="C22" s="15" t="s">
        <v>102</v>
      </c>
      <c r="D22" s="63" t="s">
        <v>88</v>
      </c>
      <c r="E22" s="63">
        <v>10.0</v>
      </c>
      <c r="F22" s="63"/>
      <c r="G22" s="66"/>
      <c r="H22" s="64"/>
      <c r="I22" s="64"/>
      <c r="J22" s="34"/>
      <c r="K22" s="34"/>
      <c r="L22" s="34"/>
      <c r="M22" s="34"/>
      <c r="N22" s="34"/>
      <c r="O22" s="34"/>
      <c r="P22" s="34"/>
      <c r="Q22" s="34"/>
      <c r="R22" s="34"/>
      <c r="S22" s="34"/>
    </row>
    <row r="23">
      <c r="A23" s="63">
        <v>10.0</v>
      </c>
      <c r="B23" s="15"/>
      <c r="C23" s="15" t="s">
        <v>103</v>
      </c>
      <c r="D23" s="63"/>
      <c r="E23" s="63"/>
      <c r="F23" s="66"/>
      <c r="G23" s="66"/>
      <c r="H23" s="64"/>
      <c r="I23" s="64"/>
      <c r="J23" s="34"/>
      <c r="K23" s="34"/>
      <c r="L23" s="34"/>
      <c r="M23" s="34"/>
      <c r="N23" s="34"/>
      <c r="O23" s="34"/>
      <c r="P23" s="34"/>
      <c r="Q23" s="34"/>
      <c r="R23" s="34"/>
      <c r="S23" s="34"/>
    </row>
    <row r="24">
      <c r="A24" s="63"/>
      <c r="B24" s="67"/>
      <c r="C24" s="67" t="s">
        <v>95</v>
      </c>
      <c r="D24" s="63" t="s">
        <v>88</v>
      </c>
      <c r="E24" s="63">
        <v>10.0</v>
      </c>
      <c r="F24" s="63"/>
      <c r="G24" s="66"/>
      <c r="H24" s="64"/>
      <c r="I24" s="64"/>
      <c r="J24" s="34"/>
      <c r="K24" s="34"/>
      <c r="L24" s="34"/>
      <c r="M24" s="34"/>
      <c r="N24" s="34"/>
      <c r="O24" s="34"/>
      <c r="P24" s="34"/>
      <c r="Q24" s="34"/>
      <c r="R24" s="34"/>
      <c r="S24" s="34"/>
    </row>
    <row r="25">
      <c r="A25" s="63"/>
      <c r="B25" s="67"/>
      <c r="C25" s="67" t="s">
        <v>99</v>
      </c>
      <c r="D25" s="63" t="s">
        <v>88</v>
      </c>
      <c r="E25" s="63">
        <v>10.0</v>
      </c>
      <c r="F25" s="63"/>
      <c r="G25" s="66"/>
      <c r="H25" s="64"/>
      <c r="I25" s="64"/>
      <c r="J25" s="34"/>
      <c r="K25" s="34"/>
      <c r="L25" s="34"/>
      <c r="M25" s="34"/>
      <c r="N25" s="34"/>
      <c r="O25" s="34"/>
      <c r="P25" s="34"/>
      <c r="Q25" s="34"/>
      <c r="R25" s="34"/>
      <c r="S25" s="34"/>
    </row>
    <row r="26">
      <c r="A26" s="63"/>
      <c r="B26" s="67"/>
      <c r="C26" s="67" t="s">
        <v>39</v>
      </c>
      <c r="D26" s="63" t="s">
        <v>88</v>
      </c>
      <c r="E26" s="63">
        <v>10.0</v>
      </c>
      <c r="F26" s="63"/>
      <c r="G26" s="66"/>
      <c r="H26" s="64"/>
      <c r="I26" s="64"/>
      <c r="J26" s="34"/>
      <c r="K26" s="34"/>
      <c r="L26" s="34"/>
      <c r="M26" s="34"/>
      <c r="N26" s="34"/>
      <c r="O26" s="34"/>
      <c r="P26" s="34"/>
      <c r="Q26" s="34"/>
      <c r="R26" s="34"/>
      <c r="S26" s="34"/>
    </row>
    <row r="27">
      <c r="A27" s="63">
        <v>11.0</v>
      </c>
      <c r="B27" s="15"/>
      <c r="C27" s="15" t="s">
        <v>104</v>
      </c>
      <c r="D27" s="63" t="s">
        <v>88</v>
      </c>
      <c r="E27" s="63">
        <v>10.0</v>
      </c>
      <c r="F27" s="66"/>
      <c r="G27" s="66"/>
      <c r="H27" s="64"/>
      <c r="I27" s="64"/>
      <c r="J27" s="34"/>
      <c r="K27" s="34"/>
      <c r="L27" s="34"/>
      <c r="M27" s="34"/>
      <c r="N27" s="34"/>
      <c r="O27" s="34"/>
      <c r="P27" s="34"/>
      <c r="Q27" s="34"/>
      <c r="R27" s="34"/>
      <c r="S27" s="34"/>
    </row>
    <row r="28">
      <c r="A28" s="63">
        <v>12.0</v>
      </c>
      <c r="B28" s="15"/>
      <c r="C28" s="15" t="s">
        <v>105</v>
      </c>
      <c r="D28" s="63" t="s">
        <v>88</v>
      </c>
      <c r="E28" s="63">
        <v>10.0</v>
      </c>
      <c r="F28" s="63"/>
      <c r="G28" s="66"/>
      <c r="H28" s="64"/>
      <c r="I28" s="64"/>
      <c r="J28" s="34"/>
      <c r="K28" s="34"/>
      <c r="L28" s="34"/>
      <c r="M28" s="34"/>
      <c r="N28" s="34"/>
      <c r="O28" s="34"/>
      <c r="P28" s="34"/>
      <c r="Q28" s="34"/>
      <c r="R28" s="34"/>
      <c r="S28" s="34"/>
    </row>
    <row r="29">
      <c r="A29" s="63">
        <v>13.0</v>
      </c>
      <c r="B29" s="15"/>
      <c r="C29" s="15" t="s">
        <v>106</v>
      </c>
      <c r="D29" s="63" t="s">
        <v>88</v>
      </c>
      <c r="E29" s="63">
        <v>10.0</v>
      </c>
      <c r="F29" s="63"/>
      <c r="G29" s="63"/>
      <c r="H29" s="64"/>
      <c r="I29" s="64"/>
      <c r="J29" s="34"/>
      <c r="K29" s="34"/>
      <c r="L29" s="34"/>
      <c r="M29" s="34"/>
      <c r="N29" s="34"/>
      <c r="O29" s="34"/>
      <c r="P29" s="34"/>
      <c r="Q29" s="34"/>
      <c r="R29" s="34"/>
      <c r="S29" s="34"/>
    </row>
    <row r="30">
      <c r="A30" s="63">
        <v>14.0</v>
      </c>
      <c r="B30" s="15"/>
      <c r="C30" s="15" t="s">
        <v>107</v>
      </c>
      <c r="D30" s="63" t="s">
        <v>88</v>
      </c>
      <c r="E30" s="63">
        <v>10.0</v>
      </c>
      <c r="F30" s="66"/>
      <c r="G30" s="63"/>
      <c r="H30" s="64"/>
      <c r="I30" s="64"/>
      <c r="J30" s="34"/>
      <c r="K30" s="34"/>
      <c r="L30" s="34"/>
      <c r="M30" s="34"/>
      <c r="N30" s="34"/>
      <c r="O30" s="34"/>
      <c r="P30" s="34"/>
      <c r="Q30" s="34"/>
      <c r="R30" s="34"/>
      <c r="S30" s="34"/>
    </row>
    <row r="31">
      <c r="A31" s="63">
        <v>15.0</v>
      </c>
      <c r="B31" s="15"/>
      <c r="C31" s="15" t="s">
        <v>108</v>
      </c>
      <c r="D31" s="63" t="s">
        <v>88</v>
      </c>
      <c r="E31" s="63">
        <v>10.0</v>
      </c>
      <c r="F31" s="66"/>
      <c r="G31" s="66"/>
      <c r="H31" s="68" t="s">
        <v>109</v>
      </c>
      <c r="I31" s="64"/>
      <c r="J31" s="34"/>
      <c r="K31" s="34"/>
      <c r="L31" s="34"/>
      <c r="M31" s="34"/>
      <c r="N31" s="34"/>
      <c r="O31" s="34"/>
      <c r="P31" s="34"/>
      <c r="Q31" s="34"/>
      <c r="R31" s="34"/>
      <c r="S31" s="3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52.0"/>
    <col customWidth="1" min="4" max="4" width="22.0"/>
    <col customWidth="1" min="5" max="5" width="37.0"/>
    <col customWidth="1" min="7" max="7" width="16.38"/>
    <col customWidth="1" min="8" max="8" width="22.13"/>
    <col customWidth="1" min="9" max="9" width="52.25"/>
  </cols>
  <sheetData>
    <row r="1">
      <c r="A1" s="69"/>
      <c r="B1" s="69" t="s">
        <v>110</v>
      </c>
      <c r="C1" s="69"/>
      <c r="D1" s="69"/>
      <c r="E1" s="69" t="s">
        <v>111</v>
      </c>
      <c r="F1" s="69"/>
      <c r="G1" s="69"/>
      <c r="H1" s="70"/>
      <c r="I1" s="69"/>
    </row>
    <row r="2">
      <c r="A2" s="69" t="s">
        <v>112</v>
      </c>
      <c r="B2" s="69" t="s">
        <v>113</v>
      </c>
      <c r="C2" s="69" t="s">
        <v>114</v>
      </c>
      <c r="D2" s="69" t="s">
        <v>115</v>
      </c>
      <c r="E2" s="69" t="s">
        <v>116</v>
      </c>
      <c r="F2" s="69" t="s">
        <v>117</v>
      </c>
      <c r="G2" s="69" t="s">
        <v>118</v>
      </c>
      <c r="H2" s="70" t="s">
        <v>119</v>
      </c>
      <c r="I2" s="69" t="s">
        <v>120</v>
      </c>
    </row>
    <row r="3">
      <c r="A3" s="54" t="s">
        <v>121</v>
      </c>
      <c r="B3" s="54" t="s">
        <v>122</v>
      </c>
      <c r="C3" s="54"/>
      <c r="D3" s="54" t="s">
        <v>24</v>
      </c>
      <c r="E3" s="54" t="s">
        <v>123</v>
      </c>
      <c r="F3" s="54" t="s">
        <v>124</v>
      </c>
      <c r="G3" s="54" t="s">
        <v>125</v>
      </c>
      <c r="H3" s="71">
        <v>123859.0</v>
      </c>
    </row>
    <row r="4">
      <c r="A4" s="54"/>
      <c r="B4" s="54" t="s">
        <v>126</v>
      </c>
      <c r="D4" s="54" t="s">
        <v>24</v>
      </c>
      <c r="E4" s="54" t="s">
        <v>127</v>
      </c>
      <c r="F4" s="54" t="s">
        <v>128</v>
      </c>
      <c r="G4" s="54" t="s">
        <v>125</v>
      </c>
      <c r="H4" s="72"/>
    </row>
    <row r="5">
      <c r="A5" s="54"/>
      <c r="B5" s="54" t="s">
        <v>129</v>
      </c>
      <c r="D5" s="54" t="s">
        <v>24</v>
      </c>
      <c r="E5" s="54" t="s">
        <v>130</v>
      </c>
      <c r="F5" s="54" t="s">
        <v>128</v>
      </c>
      <c r="G5" s="54" t="s">
        <v>130</v>
      </c>
      <c r="H5" s="72"/>
    </row>
    <row r="6">
      <c r="A6" s="54"/>
      <c r="B6" s="54" t="s">
        <v>131</v>
      </c>
      <c r="D6" s="54" t="s">
        <v>24</v>
      </c>
      <c r="E6" s="73" t="s">
        <v>132</v>
      </c>
      <c r="F6" s="54" t="s">
        <v>124</v>
      </c>
      <c r="G6" s="54" t="s">
        <v>133</v>
      </c>
      <c r="H6" s="74" t="s">
        <v>134</v>
      </c>
    </row>
    <row r="7">
      <c r="A7" s="54"/>
      <c r="B7" s="54" t="s">
        <v>135</v>
      </c>
      <c r="D7" s="54" t="s">
        <v>24</v>
      </c>
      <c r="E7" s="54" t="s">
        <v>136</v>
      </c>
      <c r="F7" s="54" t="s">
        <v>128</v>
      </c>
      <c r="G7" s="54" t="s">
        <v>133</v>
      </c>
      <c r="H7" s="74" t="s">
        <v>137</v>
      </c>
      <c r="I7" s="42" t="s">
        <v>138</v>
      </c>
    </row>
    <row r="8">
      <c r="A8" s="54"/>
      <c r="B8" s="75" t="s">
        <v>139</v>
      </c>
      <c r="D8" s="54" t="s">
        <v>24</v>
      </c>
      <c r="E8" s="54" t="s">
        <v>140</v>
      </c>
      <c r="F8" s="54" t="s">
        <v>124</v>
      </c>
      <c r="G8" s="54" t="s">
        <v>133</v>
      </c>
      <c r="H8" s="74" t="s">
        <v>141</v>
      </c>
      <c r="I8" s="42" t="s">
        <v>142</v>
      </c>
    </row>
    <row r="9">
      <c r="A9" s="54"/>
      <c r="B9" s="54" t="s">
        <v>143</v>
      </c>
      <c r="D9" s="54" t="s">
        <v>24</v>
      </c>
      <c r="E9" s="54" t="s">
        <v>127</v>
      </c>
      <c r="F9" s="54" t="s">
        <v>124</v>
      </c>
      <c r="G9" s="54" t="s">
        <v>125</v>
      </c>
      <c r="H9" s="72"/>
    </row>
    <row r="10">
      <c r="A10" s="54"/>
      <c r="B10" s="54" t="s">
        <v>144</v>
      </c>
      <c r="D10" s="54" t="s">
        <v>24</v>
      </c>
      <c r="E10" s="54" t="s">
        <v>145</v>
      </c>
      <c r="F10" s="54" t="s">
        <v>124</v>
      </c>
      <c r="G10" s="54" t="s">
        <v>133</v>
      </c>
      <c r="H10" s="76" t="s">
        <v>146</v>
      </c>
      <c r="I10" s="42" t="s">
        <v>147</v>
      </c>
    </row>
    <row r="11">
      <c r="A11" s="54"/>
      <c r="B11" s="54" t="s">
        <v>148</v>
      </c>
      <c r="D11" s="54" t="s">
        <v>24</v>
      </c>
      <c r="E11" s="54" t="s">
        <v>149</v>
      </c>
      <c r="F11" s="54" t="s">
        <v>124</v>
      </c>
      <c r="G11" s="54" t="s">
        <v>133</v>
      </c>
      <c r="H11" s="72"/>
      <c r="I11" s="54" t="s">
        <v>150</v>
      </c>
    </row>
    <row r="12">
      <c r="A12" s="54"/>
      <c r="B12" s="54" t="s">
        <v>151</v>
      </c>
      <c r="D12" s="54" t="s">
        <v>24</v>
      </c>
      <c r="E12" s="54" t="s">
        <v>152</v>
      </c>
      <c r="F12" s="54" t="s">
        <v>124</v>
      </c>
      <c r="G12" s="54" t="s">
        <v>133</v>
      </c>
      <c r="H12" s="72"/>
      <c r="I12" s="54"/>
    </row>
    <row r="13">
      <c r="A13" s="54"/>
      <c r="B13" s="54" t="s">
        <v>153</v>
      </c>
      <c r="D13" s="54" t="s">
        <v>24</v>
      </c>
      <c r="E13" s="54" t="s">
        <v>154</v>
      </c>
      <c r="F13" s="54" t="s">
        <v>124</v>
      </c>
      <c r="G13" s="54" t="s">
        <v>133</v>
      </c>
      <c r="H13" s="72"/>
      <c r="I13" s="54"/>
    </row>
    <row r="14">
      <c r="A14" s="54"/>
      <c r="B14" s="54" t="s">
        <v>155</v>
      </c>
      <c r="C14" s="54" t="s">
        <v>156</v>
      </c>
      <c r="F14" s="54" t="s">
        <v>124</v>
      </c>
      <c r="H14" s="72"/>
    </row>
    <row r="15">
      <c r="A15" s="54"/>
      <c r="B15" s="54" t="s">
        <v>157</v>
      </c>
      <c r="D15" s="54" t="s">
        <v>24</v>
      </c>
      <c r="E15" s="54" t="s">
        <v>130</v>
      </c>
      <c r="F15" s="54" t="s">
        <v>128</v>
      </c>
      <c r="G15" s="54" t="s">
        <v>130</v>
      </c>
      <c r="H15" s="72"/>
    </row>
    <row r="16">
      <c r="B16" s="54" t="s">
        <v>158</v>
      </c>
      <c r="C16" s="54" t="s">
        <v>156</v>
      </c>
      <c r="F16" s="54" t="s">
        <v>124</v>
      </c>
      <c r="H16" s="72"/>
    </row>
    <row r="17">
      <c r="B17" s="54" t="s">
        <v>159</v>
      </c>
      <c r="C17" s="54" t="s">
        <v>156</v>
      </c>
      <c r="F17" s="54" t="s">
        <v>124</v>
      </c>
      <c r="H17" s="72"/>
    </row>
    <row r="18">
      <c r="B18" s="54" t="s">
        <v>160</v>
      </c>
      <c r="D18" s="54" t="s">
        <v>161</v>
      </c>
      <c r="E18" s="54" t="s">
        <v>162</v>
      </c>
      <c r="F18" s="54" t="s">
        <v>128</v>
      </c>
      <c r="G18" s="54" t="s">
        <v>163</v>
      </c>
      <c r="H18" s="74" t="s">
        <v>164</v>
      </c>
    </row>
    <row r="19">
      <c r="A19" s="77"/>
      <c r="B19" s="78" t="s">
        <v>165</v>
      </c>
      <c r="C19" s="78"/>
      <c r="D19" s="78" t="s">
        <v>161</v>
      </c>
      <c r="E19" s="78" t="s">
        <v>166</v>
      </c>
      <c r="F19" s="78" t="s">
        <v>128</v>
      </c>
      <c r="G19" s="78" t="s">
        <v>167</v>
      </c>
      <c r="H19" s="79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</row>
    <row r="20">
      <c r="B20" s="54" t="s">
        <v>168</v>
      </c>
      <c r="D20" s="54" t="s">
        <v>161</v>
      </c>
      <c r="E20" s="54" t="s">
        <v>169</v>
      </c>
      <c r="F20" s="54" t="s">
        <v>128</v>
      </c>
      <c r="G20" s="54" t="s">
        <v>163</v>
      </c>
      <c r="H20" s="74" t="s">
        <v>170</v>
      </c>
    </row>
    <row r="21">
      <c r="B21" s="54" t="s">
        <v>171</v>
      </c>
      <c r="D21" s="54" t="s">
        <v>161</v>
      </c>
      <c r="E21" s="54" t="s">
        <v>172</v>
      </c>
      <c r="F21" s="54" t="s">
        <v>128</v>
      </c>
      <c r="G21" s="54" t="s">
        <v>163</v>
      </c>
      <c r="H21" s="74" t="s">
        <v>173</v>
      </c>
    </row>
    <row r="22">
      <c r="B22" s="54" t="s">
        <v>174</v>
      </c>
      <c r="D22" s="54" t="s">
        <v>161</v>
      </c>
      <c r="E22" s="54" t="s">
        <v>175</v>
      </c>
      <c r="F22" s="54" t="s">
        <v>128</v>
      </c>
      <c r="G22" s="54" t="s">
        <v>163</v>
      </c>
      <c r="H22" s="74">
        <v>48310.0</v>
      </c>
    </row>
    <row r="23">
      <c r="B23" s="54" t="s">
        <v>176</v>
      </c>
      <c r="C23" s="54" t="s">
        <v>156</v>
      </c>
      <c r="E23" s="80"/>
      <c r="F23" s="54" t="s">
        <v>124</v>
      </c>
      <c r="H23" s="72"/>
    </row>
    <row r="24">
      <c r="B24" s="54" t="s">
        <v>177</v>
      </c>
      <c r="D24" s="54" t="s">
        <v>161</v>
      </c>
      <c r="E24" s="54" t="s">
        <v>178</v>
      </c>
      <c r="F24" s="54" t="s">
        <v>128</v>
      </c>
      <c r="G24" s="54" t="s">
        <v>133</v>
      </c>
      <c r="H24" s="72"/>
    </row>
    <row r="25">
      <c r="B25" s="54" t="s">
        <v>179</v>
      </c>
      <c r="D25" s="54" t="s">
        <v>161</v>
      </c>
      <c r="E25" s="54" t="s">
        <v>180</v>
      </c>
      <c r="F25" s="54" t="s">
        <v>128</v>
      </c>
      <c r="G25" s="54" t="s">
        <v>181</v>
      </c>
      <c r="H25" s="72"/>
    </row>
    <row r="26">
      <c r="B26" s="54" t="s">
        <v>182</v>
      </c>
      <c r="D26" s="54" t="s">
        <v>161</v>
      </c>
      <c r="E26" s="54" t="s">
        <v>183</v>
      </c>
      <c r="F26" s="54" t="s">
        <v>124</v>
      </c>
      <c r="G26" s="54" t="s">
        <v>133</v>
      </c>
      <c r="H26" s="74" t="s">
        <v>184</v>
      </c>
    </row>
    <row r="27">
      <c r="B27" s="54" t="s">
        <v>185</v>
      </c>
      <c r="D27" s="54" t="s">
        <v>161</v>
      </c>
      <c r="E27" s="54" t="s">
        <v>186</v>
      </c>
      <c r="F27" s="54" t="s">
        <v>128</v>
      </c>
      <c r="G27" s="54" t="s">
        <v>133</v>
      </c>
      <c r="H27" s="74" t="s">
        <v>187</v>
      </c>
    </row>
    <row r="28">
      <c r="B28" s="54" t="s">
        <v>188</v>
      </c>
      <c r="D28" s="54" t="s">
        <v>161</v>
      </c>
      <c r="E28" s="54" t="s">
        <v>186</v>
      </c>
      <c r="F28" s="54" t="s">
        <v>124</v>
      </c>
      <c r="G28" s="54" t="s">
        <v>133</v>
      </c>
      <c r="H28" s="74" t="s">
        <v>187</v>
      </c>
    </row>
    <row r="29">
      <c r="A29" s="77"/>
      <c r="B29" s="78" t="s">
        <v>189</v>
      </c>
      <c r="C29" s="77"/>
      <c r="D29" s="78" t="s">
        <v>161</v>
      </c>
      <c r="E29" s="81" t="s">
        <v>190</v>
      </c>
      <c r="F29" s="78" t="s">
        <v>124</v>
      </c>
      <c r="G29" s="78" t="s">
        <v>125</v>
      </c>
      <c r="H29" s="82" t="s">
        <v>191</v>
      </c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</row>
    <row r="30">
      <c r="H30" s="72"/>
    </row>
    <row r="31">
      <c r="H31" s="72"/>
    </row>
    <row r="32">
      <c r="H32" s="72"/>
    </row>
    <row r="33">
      <c r="H33" s="72"/>
    </row>
    <row r="34">
      <c r="H34" s="72"/>
    </row>
    <row r="35">
      <c r="H35" s="72"/>
    </row>
    <row r="36">
      <c r="H36" s="72"/>
    </row>
    <row r="37">
      <c r="H37" s="72"/>
    </row>
    <row r="38">
      <c r="H38" s="72"/>
    </row>
    <row r="39">
      <c r="H39" s="72"/>
    </row>
    <row r="40">
      <c r="H40" s="72"/>
    </row>
    <row r="41">
      <c r="H41" s="72"/>
    </row>
    <row r="42">
      <c r="H42" s="72"/>
    </row>
    <row r="43">
      <c r="H43" s="72"/>
    </row>
    <row r="44">
      <c r="H44" s="72"/>
    </row>
    <row r="45">
      <c r="H45" s="72"/>
    </row>
    <row r="46">
      <c r="H46" s="72"/>
    </row>
    <row r="47">
      <c r="H47" s="72"/>
    </row>
    <row r="48">
      <c r="H48" s="72"/>
    </row>
    <row r="49">
      <c r="H49" s="72"/>
    </row>
    <row r="50">
      <c r="H50" s="72"/>
    </row>
    <row r="51">
      <c r="H51" s="72"/>
    </row>
    <row r="52">
      <c r="H52" s="72"/>
    </row>
    <row r="53">
      <c r="H53" s="72"/>
    </row>
    <row r="54">
      <c r="H54" s="72"/>
    </row>
    <row r="55">
      <c r="H55" s="72"/>
    </row>
    <row r="56">
      <c r="H56" s="72"/>
    </row>
    <row r="57">
      <c r="H57" s="72"/>
    </row>
    <row r="58">
      <c r="H58" s="72"/>
    </row>
    <row r="59">
      <c r="H59" s="72"/>
    </row>
    <row r="60">
      <c r="H60" s="72"/>
    </row>
    <row r="61">
      <c r="H61" s="72"/>
    </row>
    <row r="62">
      <c r="H62" s="72"/>
    </row>
    <row r="63">
      <c r="H63" s="72"/>
    </row>
    <row r="64">
      <c r="H64" s="72"/>
    </row>
    <row r="65">
      <c r="H65" s="72"/>
    </row>
    <row r="66">
      <c r="H66" s="72"/>
    </row>
    <row r="67">
      <c r="H67" s="72"/>
    </row>
    <row r="68">
      <c r="H68" s="72"/>
    </row>
    <row r="69">
      <c r="H69" s="72"/>
    </row>
    <row r="70">
      <c r="H70" s="72"/>
    </row>
    <row r="71">
      <c r="H71" s="72"/>
    </row>
    <row r="72">
      <c r="H72" s="72"/>
    </row>
    <row r="73">
      <c r="H73" s="72"/>
    </row>
    <row r="74">
      <c r="H74" s="72"/>
    </row>
    <row r="75">
      <c r="H75" s="72"/>
    </row>
    <row r="76">
      <c r="H76" s="72"/>
    </row>
    <row r="77">
      <c r="H77" s="72"/>
    </row>
    <row r="78">
      <c r="H78" s="72"/>
    </row>
    <row r="79">
      <c r="H79" s="72"/>
    </row>
    <row r="80">
      <c r="H80" s="72"/>
    </row>
    <row r="81">
      <c r="H81" s="72"/>
    </row>
    <row r="82">
      <c r="H82" s="72"/>
    </row>
    <row r="83">
      <c r="H83" s="72"/>
    </row>
    <row r="84">
      <c r="H84" s="72"/>
    </row>
    <row r="85">
      <c r="H85" s="72"/>
    </row>
    <row r="86">
      <c r="H86" s="72"/>
    </row>
    <row r="87">
      <c r="H87" s="72"/>
    </row>
    <row r="88">
      <c r="H88" s="72"/>
    </row>
    <row r="89">
      <c r="H89" s="72"/>
    </row>
    <row r="90">
      <c r="H90" s="72"/>
    </row>
    <row r="91">
      <c r="H91" s="72"/>
    </row>
    <row r="92">
      <c r="H92" s="72"/>
    </row>
    <row r="93">
      <c r="H93" s="72"/>
    </row>
    <row r="94">
      <c r="H94" s="72"/>
    </row>
    <row r="95">
      <c r="H95" s="72"/>
    </row>
    <row r="96">
      <c r="H96" s="72"/>
    </row>
    <row r="97">
      <c r="H97" s="72"/>
    </row>
    <row r="98">
      <c r="H98" s="72"/>
    </row>
    <row r="99">
      <c r="H99" s="72"/>
    </row>
    <row r="100">
      <c r="H100" s="72"/>
    </row>
    <row r="101">
      <c r="H101" s="72"/>
    </row>
    <row r="102">
      <c r="H102" s="72"/>
    </row>
    <row r="103">
      <c r="H103" s="72"/>
    </row>
    <row r="104">
      <c r="H104" s="72"/>
    </row>
    <row r="105">
      <c r="H105" s="72"/>
    </row>
    <row r="106">
      <c r="H106" s="72"/>
    </row>
    <row r="107">
      <c r="H107" s="72"/>
    </row>
    <row r="108">
      <c r="H108" s="72"/>
    </row>
    <row r="109">
      <c r="H109" s="72"/>
    </row>
    <row r="110">
      <c r="H110" s="72"/>
    </row>
    <row r="111">
      <c r="H111" s="72"/>
    </row>
    <row r="112">
      <c r="H112" s="72"/>
    </row>
    <row r="113">
      <c r="H113" s="72"/>
    </row>
    <row r="114">
      <c r="H114" s="72"/>
    </row>
    <row r="115">
      <c r="H115" s="72"/>
    </row>
    <row r="116">
      <c r="H116" s="72"/>
    </row>
    <row r="117">
      <c r="H117" s="72"/>
    </row>
    <row r="118">
      <c r="H118" s="72"/>
    </row>
    <row r="119">
      <c r="H119" s="72"/>
    </row>
    <row r="120">
      <c r="H120" s="72"/>
    </row>
    <row r="121">
      <c r="H121" s="72"/>
    </row>
    <row r="122">
      <c r="H122" s="72"/>
    </row>
    <row r="123">
      <c r="H123" s="72"/>
    </row>
    <row r="124">
      <c r="H124" s="72"/>
    </row>
    <row r="125">
      <c r="H125" s="72"/>
    </row>
    <row r="126">
      <c r="H126" s="72"/>
    </row>
    <row r="127">
      <c r="H127" s="72"/>
    </row>
    <row r="128">
      <c r="H128" s="72"/>
    </row>
    <row r="129">
      <c r="H129" s="72"/>
    </row>
    <row r="130">
      <c r="H130" s="72"/>
    </row>
    <row r="131">
      <c r="H131" s="72"/>
    </row>
    <row r="132">
      <c r="H132" s="72"/>
    </row>
    <row r="133">
      <c r="H133" s="72"/>
    </row>
    <row r="134">
      <c r="H134" s="72"/>
    </row>
    <row r="135">
      <c r="H135" s="72"/>
    </row>
    <row r="136">
      <c r="H136" s="72"/>
    </row>
    <row r="137">
      <c r="H137" s="72"/>
    </row>
    <row r="138">
      <c r="H138" s="72"/>
    </row>
    <row r="139">
      <c r="H139" s="72"/>
    </row>
    <row r="140">
      <c r="H140" s="72"/>
    </row>
    <row r="141">
      <c r="H141" s="72"/>
    </row>
    <row r="142">
      <c r="H142" s="72"/>
    </row>
    <row r="143">
      <c r="H143" s="72"/>
    </row>
    <row r="144">
      <c r="H144" s="72"/>
    </row>
    <row r="145">
      <c r="H145" s="72"/>
    </row>
    <row r="146">
      <c r="H146" s="72"/>
    </row>
    <row r="147">
      <c r="H147" s="72"/>
    </row>
    <row r="148">
      <c r="H148" s="72"/>
    </row>
    <row r="149">
      <c r="H149" s="72"/>
    </row>
    <row r="150">
      <c r="H150" s="72"/>
    </row>
    <row r="151">
      <c r="H151" s="72"/>
    </row>
    <row r="152">
      <c r="H152" s="72"/>
    </row>
    <row r="153">
      <c r="H153" s="72"/>
    </row>
    <row r="154">
      <c r="H154" s="72"/>
    </row>
    <row r="155">
      <c r="H155" s="72"/>
    </row>
    <row r="156">
      <c r="H156" s="72"/>
    </row>
    <row r="157">
      <c r="H157" s="72"/>
    </row>
    <row r="158">
      <c r="H158" s="72"/>
    </row>
    <row r="159">
      <c r="H159" s="72"/>
    </row>
    <row r="160">
      <c r="H160" s="72"/>
    </row>
    <row r="161">
      <c r="H161" s="72"/>
    </row>
    <row r="162">
      <c r="H162" s="72"/>
    </row>
    <row r="163">
      <c r="H163" s="72"/>
    </row>
    <row r="164">
      <c r="H164" s="72"/>
    </row>
    <row r="165">
      <c r="H165" s="72"/>
    </row>
    <row r="166">
      <c r="H166" s="72"/>
    </row>
    <row r="167">
      <c r="H167" s="72"/>
    </row>
    <row r="168">
      <c r="H168" s="72"/>
    </row>
    <row r="169">
      <c r="H169" s="72"/>
    </row>
    <row r="170">
      <c r="H170" s="72"/>
    </row>
    <row r="171">
      <c r="H171" s="72"/>
    </row>
    <row r="172">
      <c r="H172" s="72"/>
    </row>
    <row r="173">
      <c r="H173" s="72"/>
    </row>
    <row r="174">
      <c r="H174" s="72"/>
    </row>
    <row r="175">
      <c r="H175" s="72"/>
    </row>
    <row r="176">
      <c r="H176" s="72"/>
    </row>
    <row r="177">
      <c r="H177" s="72"/>
    </row>
    <row r="178">
      <c r="H178" s="72"/>
    </row>
    <row r="179">
      <c r="H179" s="72"/>
    </row>
    <row r="180">
      <c r="H180" s="72"/>
    </row>
    <row r="181">
      <c r="H181" s="72"/>
    </row>
    <row r="182">
      <c r="H182" s="72"/>
    </row>
    <row r="183">
      <c r="H183" s="72"/>
    </row>
    <row r="184">
      <c r="H184" s="72"/>
    </row>
    <row r="185">
      <c r="H185" s="72"/>
    </row>
    <row r="186">
      <c r="H186" s="72"/>
    </row>
    <row r="187">
      <c r="H187" s="72"/>
    </row>
    <row r="188">
      <c r="H188" s="72"/>
    </row>
    <row r="189">
      <c r="H189" s="72"/>
    </row>
    <row r="190">
      <c r="H190" s="72"/>
    </row>
    <row r="191">
      <c r="H191" s="72"/>
    </row>
    <row r="192">
      <c r="H192" s="72"/>
    </row>
    <row r="193">
      <c r="H193" s="72"/>
    </row>
    <row r="194">
      <c r="H194" s="72"/>
    </row>
    <row r="195">
      <c r="H195" s="72"/>
    </row>
    <row r="196">
      <c r="H196" s="72"/>
    </row>
    <row r="197">
      <c r="H197" s="72"/>
    </row>
    <row r="198">
      <c r="H198" s="72"/>
    </row>
    <row r="199">
      <c r="H199" s="72"/>
    </row>
    <row r="200">
      <c r="H200" s="72"/>
    </row>
    <row r="201">
      <c r="H201" s="72"/>
    </row>
    <row r="202">
      <c r="H202" s="72"/>
    </row>
    <row r="203">
      <c r="H203" s="72"/>
    </row>
    <row r="204">
      <c r="H204" s="72"/>
    </row>
    <row r="205">
      <c r="H205" s="72"/>
    </row>
    <row r="206">
      <c r="H206" s="72"/>
    </row>
    <row r="207">
      <c r="H207" s="72"/>
    </row>
    <row r="208">
      <c r="H208" s="72"/>
    </row>
    <row r="209">
      <c r="H209" s="72"/>
    </row>
    <row r="210">
      <c r="H210" s="72"/>
    </row>
    <row r="211">
      <c r="H211" s="72"/>
    </row>
    <row r="212">
      <c r="H212" s="72"/>
    </row>
    <row r="213">
      <c r="H213" s="72"/>
    </row>
    <row r="214">
      <c r="H214" s="72"/>
    </row>
    <row r="215">
      <c r="H215" s="72"/>
    </row>
    <row r="216">
      <c r="H216" s="72"/>
    </row>
    <row r="217">
      <c r="H217" s="72"/>
    </row>
    <row r="218">
      <c r="H218" s="72"/>
    </row>
    <row r="219">
      <c r="H219" s="72"/>
    </row>
    <row r="220">
      <c r="H220" s="72"/>
    </row>
    <row r="221">
      <c r="H221" s="72"/>
    </row>
    <row r="222">
      <c r="H222" s="72"/>
    </row>
    <row r="223">
      <c r="H223" s="72"/>
    </row>
    <row r="224">
      <c r="H224" s="72"/>
    </row>
    <row r="225">
      <c r="H225" s="72"/>
    </row>
    <row r="226">
      <c r="H226" s="72"/>
    </row>
    <row r="227">
      <c r="H227" s="72"/>
    </row>
    <row r="228">
      <c r="H228" s="72"/>
    </row>
    <row r="229">
      <c r="H229" s="72"/>
    </row>
    <row r="230">
      <c r="H230" s="72"/>
    </row>
    <row r="231">
      <c r="H231" s="72"/>
    </row>
    <row r="232">
      <c r="H232" s="72"/>
    </row>
    <row r="233">
      <c r="H233" s="72"/>
    </row>
    <row r="234">
      <c r="H234" s="72"/>
    </row>
    <row r="235">
      <c r="H235" s="72"/>
    </row>
    <row r="236">
      <c r="H236" s="72"/>
    </row>
    <row r="237">
      <c r="H237" s="72"/>
    </row>
    <row r="238">
      <c r="H238" s="72"/>
    </row>
    <row r="239">
      <c r="H239" s="72"/>
    </row>
    <row r="240">
      <c r="H240" s="72"/>
    </row>
    <row r="241">
      <c r="H241" s="72"/>
    </row>
    <row r="242">
      <c r="H242" s="72"/>
    </row>
    <row r="243">
      <c r="H243" s="72"/>
    </row>
    <row r="244">
      <c r="H244" s="72"/>
    </row>
    <row r="245">
      <c r="H245" s="72"/>
    </row>
    <row r="246">
      <c r="H246" s="72"/>
    </row>
    <row r="247">
      <c r="H247" s="72"/>
    </row>
    <row r="248">
      <c r="H248" s="72"/>
    </row>
    <row r="249">
      <c r="H249" s="72"/>
    </row>
    <row r="250">
      <c r="H250" s="72"/>
    </row>
    <row r="251">
      <c r="H251" s="72"/>
    </row>
    <row r="252">
      <c r="H252" s="72"/>
    </row>
    <row r="253">
      <c r="H253" s="72"/>
    </row>
    <row r="254">
      <c r="H254" s="72"/>
    </row>
    <row r="255">
      <c r="H255" s="72"/>
    </row>
    <row r="256">
      <c r="H256" s="72"/>
    </row>
    <row r="257">
      <c r="H257" s="72"/>
    </row>
    <row r="258">
      <c r="H258" s="72"/>
    </row>
    <row r="259">
      <c r="H259" s="72"/>
    </row>
    <row r="260">
      <c r="H260" s="72"/>
    </row>
    <row r="261">
      <c r="H261" s="72"/>
    </row>
    <row r="262">
      <c r="H262" s="72"/>
    </row>
    <row r="263">
      <c r="H263" s="72"/>
    </row>
    <row r="264">
      <c r="H264" s="72"/>
    </row>
    <row r="265">
      <c r="H265" s="72"/>
    </row>
    <row r="266">
      <c r="H266" s="72"/>
    </row>
    <row r="267">
      <c r="H267" s="72"/>
    </row>
    <row r="268">
      <c r="H268" s="72"/>
    </row>
    <row r="269">
      <c r="H269" s="72"/>
    </row>
    <row r="270">
      <c r="H270" s="72"/>
    </row>
    <row r="271">
      <c r="H271" s="72"/>
    </row>
    <row r="272">
      <c r="H272" s="72"/>
    </row>
    <row r="273">
      <c r="H273" s="72"/>
    </row>
    <row r="274">
      <c r="H274" s="72"/>
    </row>
    <row r="275">
      <c r="H275" s="72"/>
    </row>
    <row r="276">
      <c r="H276" s="72"/>
    </row>
    <row r="277">
      <c r="H277" s="72"/>
    </row>
    <row r="278">
      <c r="H278" s="72"/>
    </row>
    <row r="279">
      <c r="H279" s="72"/>
    </row>
    <row r="280">
      <c r="H280" s="72"/>
    </row>
    <row r="281">
      <c r="H281" s="72"/>
    </row>
    <row r="282">
      <c r="H282" s="72"/>
    </row>
    <row r="283">
      <c r="H283" s="72"/>
    </row>
    <row r="284">
      <c r="H284" s="72"/>
    </row>
    <row r="285">
      <c r="H285" s="72"/>
    </row>
    <row r="286">
      <c r="H286" s="72"/>
    </row>
    <row r="287">
      <c r="H287" s="72"/>
    </row>
    <row r="288">
      <c r="H288" s="72"/>
    </row>
    <row r="289">
      <c r="H289" s="72"/>
    </row>
    <row r="290">
      <c r="H290" s="72"/>
    </row>
    <row r="291">
      <c r="H291" s="72"/>
    </row>
    <row r="292">
      <c r="H292" s="72"/>
    </row>
    <row r="293">
      <c r="H293" s="72"/>
    </row>
    <row r="294">
      <c r="H294" s="72"/>
    </row>
    <row r="295">
      <c r="H295" s="72"/>
    </row>
    <row r="296">
      <c r="H296" s="72"/>
    </row>
    <row r="297">
      <c r="H297" s="72"/>
    </row>
    <row r="298">
      <c r="H298" s="72"/>
    </row>
    <row r="299">
      <c r="H299" s="72"/>
    </row>
    <row r="300">
      <c r="H300" s="72"/>
    </row>
    <row r="301">
      <c r="H301" s="72"/>
    </row>
    <row r="302">
      <c r="H302" s="72"/>
    </row>
    <row r="303">
      <c r="H303" s="72"/>
    </row>
    <row r="304">
      <c r="H304" s="72"/>
    </row>
    <row r="305">
      <c r="H305" s="72"/>
    </row>
    <row r="306">
      <c r="H306" s="72"/>
    </row>
    <row r="307">
      <c r="H307" s="72"/>
    </row>
    <row r="308">
      <c r="H308" s="72"/>
    </row>
    <row r="309">
      <c r="H309" s="72"/>
    </row>
    <row r="310">
      <c r="H310" s="72"/>
    </row>
    <row r="311">
      <c r="H311" s="72"/>
    </row>
    <row r="312">
      <c r="H312" s="72"/>
    </row>
    <row r="313">
      <c r="H313" s="72"/>
    </row>
    <row r="314">
      <c r="H314" s="72"/>
    </row>
    <row r="315">
      <c r="H315" s="72"/>
    </row>
    <row r="316">
      <c r="H316" s="72"/>
    </row>
    <row r="317">
      <c r="H317" s="72"/>
    </row>
    <row r="318">
      <c r="H318" s="72"/>
    </row>
    <row r="319">
      <c r="H319" s="72"/>
    </row>
    <row r="320">
      <c r="H320" s="72"/>
    </row>
    <row r="321">
      <c r="H321" s="72"/>
    </row>
    <row r="322">
      <c r="H322" s="72"/>
    </row>
    <row r="323">
      <c r="H323" s="72"/>
    </row>
    <row r="324">
      <c r="H324" s="72"/>
    </row>
    <row r="325">
      <c r="H325" s="72"/>
    </row>
    <row r="326">
      <c r="H326" s="72"/>
    </row>
    <row r="327">
      <c r="H327" s="72"/>
    </row>
    <row r="328">
      <c r="H328" s="72"/>
    </row>
    <row r="329">
      <c r="H329" s="72"/>
    </row>
    <row r="330">
      <c r="H330" s="72"/>
    </row>
    <row r="331">
      <c r="H331" s="72"/>
    </row>
    <row r="332">
      <c r="H332" s="72"/>
    </row>
    <row r="333">
      <c r="H333" s="72"/>
    </row>
    <row r="334">
      <c r="H334" s="72"/>
    </row>
    <row r="335">
      <c r="H335" s="72"/>
    </row>
    <row r="336">
      <c r="H336" s="72"/>
    </row>
    <row r="337">
      <c r="H337" s="72"/>
    </row>
    <row r="338">
      <c r="H338" s="72"/>
    </row>
    <row r="339">
      <c r="H339" s="72"/>
    </row>
    <row r="340">
      <c r="H340" s="72"/>
    </row>
    <row r="341">
      <c r="H341" s="72"/>
    </row>
    <row r="342">
      <c r="H342" s="72"/>
    </row>
    <row r="343">
      <c r="H343" s="72"/>
    </row>
    <row r="344">
      <c r="H344" s="72"/>
    </row>
    <row r="345">
      <c r="H345" s="72"/>
    </row>
    <row r="346">
      <c r="H346" s="72"/>
    </row>
    <row r="347">
      <c r="H347" s="72"/>
    </row>
    <row r="348">
      <c r="H348" s="72"/>
    </row>
    <row r="349">
      <c r="H349" s="72"/>
    </row>
    <row r="350">
      <c r="H350" s="72"/>
    </row>
    <row r="351">
      <c r="H351" s="72"/>
    </row>
    <row r="352">
      <c r="H352" s="72"/>
    </row>
    <row r="353">
      <c r="H353" s="72"/>
    </row>
    <row r="354">
      <c r="H354" s="72"/>
    </row>
    <row r="355">
      <c r="H355" s="72"/>
    </row>
    <row r="356">
      <c r="H356" s="72"/>
    </row>
    <row r="357">
      <c r="H357" s="72"/>
    </row>
    <row r="358">
      <c r="H358" s="72"/>
    </row>
    <row r="359">
      <c r="H359" s="72"/>
    </row>
    <row r="360">
      <c r="H360" s="72"/>
    </row>
    <row r="361">
      <c r="H361" s="72"/>
    </row>
    <row r="362">
      <c r="H362" s="72"/>
    </row>
    <row r="363">
      <c r="H363" s="72"/>
    </row>
    <row r="364">
      <c r="H364" s="72"/>
    </row>
    <row r="365">
      <c r="H365" s="72"/>
    </row>
    <row r="366">
      <c r="H366" s="72"/>
    </row>
    <row r="367">
      <c r="H367" s="72"/>
    </row>
    <row r="368">
      <c r="H368" s="72"/>
    </row>
    <row r="369">
      <c r="H369" s="72"/>
    </row>
    <row r="370">
      <c r="H370" s="72"/>
    </row>
    <row r="371">
      <c r="H371" s="72"/>
    </row>
    <row r="372">
      <c r="H372" s="72"/>
    </row>
    <row r="373">
      <c r="H373" s="72"/>
    </row>
    <row r="374">
      <c r="H374" s="72"/>
    </row>
    <row r="375">
      <c r="H375" s="72"/>
    </row>
    <row r="376">
      <c r="H376" s="72"/>
    </row>
    <row r="377">
      <c r="H377" s="72"/>
    </row>
    <row r="378">
      <c r="H378" s="72"/>
    </row>
    <row r="379">
      <c r="H379" s="72"/>
    </row>
    <row r="380">
      <c r="H380" s="72"/>
    </row>
    <row r="381">
      <c r="H381" s="72"/>
    </row>
    <row r="382">
      <c r="H382" s="72"/>
    </row>
    <row r="383">
      <c r="H383" s="72"/>
    </row>
    <row r="384">
      <c r="H384" s="72"/>
    </row>
    <row r="385">
      <c r="H385" s="72"/>
    </row>
    <row r="386">
      <c r="H386" s="72"/>
    </row>
    <row r="387">
      <c r="H387" s="72"/>
    </row>
    <row r="388">
      <c r="H388" s="72"/>
    </row>
    <row r="389">
      <c r="H389" s="72"/>
    </row>
    <row r="390">
      <c r="H390" s="72"/>
    </row>
    <row r="391">
      <c r="H391" s="72"/>
    </row>
    <row r="392">
      <c r="H392" s="72"/>
    </row>
    <row r="393">
      <c r="H393" s="72"/>
    </row>
    <row r="394">
      <c r="H394" s="72"/>
    </row>
    <row r="395">
      <c r="H395" s="72"/>
    </row>
    <row r="396">
      <c r="H396" s="72"/>
    </row>
    <row r="397">
      <c r="H397" s="72"/>
    </row>
    <row r="398">
      <c r="H398" s="72"/>
    </row>
    <row r="399">
      <c r="H399" s="72"/>
    </row>
    <row r="400">
      <c r="H400" s="72"/>
    </row>
    <row r="401">
      <c r="H401" s="72"/>
    </row>
    <row r="402">
      <c r="H402" s="72"/>
    </row>
    <row r="403">
      <c r="H403" s="72"/>
    </row>
    <row r="404">
      <c r="H404" s="72"/>
    </row>
    <row r="405">
      <c r="H405" s="72"/>
    </row>
    <row r="406">
      <c r="H406" s="72"/>
    </row>
    <row r="407">
      <c r="H407" s="72"/>
    </row>
    <row r="408">
      <c r="H408" s="72"/>
    </row>
    <row r="409">
      <c r="H409" s="72"/>
    </row>
    <row r="410">
      <c r="H410" s="72"/>
    </row>
    <row r="411">
      <c r="H411" s="72"/>
    </row>
    <row r="412">
      <c r="H412" s="72"/>
    </row>
    <row r="413">
      <c r="H413" s="72"/>
    </row>
    <row r="414">
      <c r="H414" s="72"/>
    </row>
    <row r="415">
      <c r="H415" s="72"/>
    </row>
    <row r="416">
      <c r="H416" s="72"/>
    </row>
    <row r="417">
      <c r="H417" s="72"/>
    </row>
    <row r="418">
      <c r="H418" s="72"/>
    </row>
    <row r="419">
      <c r="H419" s="72"/>
    </row>
    <row r="420">
      <c r="H420" s="72"/>
    </row>
    <row r="421">
      <c r="H421" s="72"/>
    </row>
    <row r="422">
      <c r="H422" s="72"/>
    </row>
    <row r="423">
      <c r="H423" s="72"/>
    </row>
    <row r="424">
      <c r="H424" s="72"/>
    </row>
    <row r="425">
      <c r="H425" s="72"/>
    </row>
    <row r="426">
      <c r="H426" s="72"/>
    </row>
    <row r="427">
      <c r="H427" s="72"/>
    </row>
    <row r="428">
      <c r="H428" s="72"/>
    </row>
    <row r="429">
      <c r="H429" s="72"/>
    </row>
    <row r="430">
      <c r="H430" s="72"/>
    </row>
    <row r="431">
      <c r="H431" s="72"/>
    </row>
    <row r="432">
      <c r="H432" s="72"/>
    </row>
    <row r="433">
      <c r="H433" s="72"/>
    </row>
    <row r="434">
      <c r="H434" s="72"/>
    </row>
    <row r="435">
      <c r="H435" s="72"/>
    </row>
    <row r="436">
      <c r="H436" s="72"/>
    </row>
    <row r="437">
      <c r="H437" s="72"/>
    </row>
    <row r="438">
      <c r="H438" s="72"/>
    </row>
    <row r="439">
      <c r="H439" s="72"/>
    </row>
    <row r="440">
      <c r="H440" s="72"/>
    </row>
    <row r="441">
      <c r="H441" s="72"/>
    </row>
    <row r="442">
      <c r="H442" s="72"/>
    </row>
    <row r="443">
      <c r="H443" s="72"/>
    </row>
    <row r="444">
      <c r="H444" s="72"/>
    </row>
    <row r="445">
      <c r="H445" s="72"/>
    </row>
    <row r="446">
      <c r="H446" s="72"/>
    </row>
    <row r="447">
      <c r="H447" s="72"/>
    </row>
    <row r="448">
      <c r="H448" s="72"/>
    </row>
    <row r="449">
      <c r="H449" s="72"/>
    </row>
    <row r="450">
      <c r="H450" s="72"/>
    </row>
    <row r="451">
      <c r="H451" s="72"/>
    </row>
    <row r="452">
      <c r="H452" s="72"/>
    </row>
    <row r="453">
      <c r="H453" s="72"/>
    </row>
    <row r="454">
      <c r="H454" s="72"/>
    </row>
    <row r="455">
      <c r="H455" s="72"/>
    </row>
    <row r="456">
      <c r="H456" s="72"/>
    </row>
    <row r="457">
      <c r="H457" s="72"/>
    </row>
    <row r="458">
      <c r="H458" s="72"/>
    </row>
    <row r="459">
      <c r="H459" s="72"/>
    </row>
    <row r="460">
      <c r="H460" s="72"/>
    </row>
    <row r="461">
      <c r="H461" s="72"/>
    </row>
    <row r="462">
      <c r="H462" s="72"/>
    </row>
    <row r="463">
      <c r="H463" s="72"/>
    </row>
    <row r="464">
      <c r="H464" s="72"/>
    </row>
    <row r="465">
      <c r="H465" s="72"/>
    </row>
    <row r="466">
      <c r="H466" s="72"/>
    </row>
    <row r="467">
      <c r="H467" s="72"/>
    </row>
    <row r="468">
      <c r="H468" s="72"/>
    </row>
    <row r="469">
      <c r="H469" s="72"/>
    </row>
    <row r="470">
      <c r="H470" s="72"/>
    </row>
    <row r="471">
      <c r="H471" s="72"/>
    </row>
    <row r="472">
      <c r="H472" s="72"/>
    </row>
    <row r="473">
      <c r="H473" s="72"/>
    </row>
    <row r="474">
      <c r="H474" s="72"/>
    </row>
    <row r="475">
      <c r="H475" s="72"/>
    </row>
    <row r="476">
      <c r="H476" s="72"/>
    </row>
    <row r="477">
      <c r="H477" s="72"/>
    </row>
    <row r="478">
      <c r="H478" s="72"/>
    </row>
    <row r="479">
      <c r="H479" s="72"/>
    </row>
    <row r="480">
      <c r="H480" s="72"/>
    </row>
    <row r="481">
      <c r="H481" s="72"/>
    </row>
    <row r="482">
      <c r="H482" s="72"/>
    </row>
    <row r="483">
      <c r="H483" s="72"/>
    </row>
    <row r="484">
      <c r="H484" s="72"/>
    </row>
    <row r="485">
      <c r="H485" s="72"/>
    </row>
    <row r="486">
      <c r="H486" s="72"/>
    </row>
    <row r="487">
      <c r="H487" s="72"/>
    </row>
    <row r="488">
      <c r="H488" s="72"/>
    </row>
    <row r="489">
      <c r="H489" s="72"/>
    </row>
    <row r="490">
      <c r="H490" s="72"/>
    </row>
    <row r="491">
      <c r="H491" s="72"/>
    </row>
    <row r="492">
      <c r="H492" s="72"/>
    </row>
    <row r="493">
      <c r="H493" s="72"/>
    </row>
    <row r="494">
      <c r="H494" s="72"/>
    </row>
    <row r="495">
      <c r="H495" s="72"/>
    </row>
    <row r="496">
      <c r="H496" s="72"/>
    </row>
    <row r="497">
      <c r="H497" s="72"/>
    </row>
    <row r="498">
      <c r="H498" s="72"/>
    </row>
    <row r="499">
      <c r="H499" s="72"/>
    </row>
    <row r="500">
      <c r="H500" s="72"/>
    </row>
    <row r="501">
      <c r="H501" s="72"/>
    </row>
    <row r="502">
      <c r="H502" s="72"/>
    </row>
    <row r="503">
      <c r="H503" s="72"/>
    </row>
    <row r="504">
      <c r="H504" s="72"/>
    </row>
    <row r="505">
      <c r="H505" s="72"/>
    </row>
    <row r="506">
      <c r="H506" s="72"/>
    </row>
    <row r="507">
      <c r="H507" s="72"/>
    </row>
    <row r="508">
      <c r="H508" s="72"/>
    </row>
    <row r="509">
      <c r="H509" s="72"/>
    </row>
    <row r="510">
      <c r="H510" s="72"/>
    </row>
    <row r="511">
      <c r="H511" s="72"/>
    </row>
    <row r="512">
      <c r="H512" s="72"/>
    </row>
    <row r="513">
      <c r="H513" s="72"/>
    </row>
    <row r="514">
      <c r="H514" s="72"/>
    </row>
    <row r="515">
      <c r="H515" s="72"/>
    </row>
    <row r="516">
      <c r="H516" s="72"/>
    </row>
    <row r="517">
      <c r="H517" s="72"/>
    </row>
    <row r="518">
      <c r="H518" s="72"/>
    </row>
    <row r="519">
      <c r="H519" s="72"/>
    </row>
    <row r="520">
      <c r="H520" s="72"/>
    </row>
    <row r="521">
      <c r="H521" s="72"/>
    </row>
    <row r="522">
      <c r="H522" s="72"/>
    </row>
    <row r="523">
      <c r="H523" s="72"/>
    </row>
    <row r="524">
      <c r="H524" s="72"/>
    </row>
    <row r="525">
      <c r="H525" s="72"/>
    </row>
    <row r="526">
      <c r="H526" s="72"/>
    </row>
    <row r="527">
      <c r="H527" s="72"/>
    </row>
    <row r="528">
      <c r="H528" s="72"/>
    </row>
    <row r="529">
      <c r="H529" s="72"/>
    </row>
    <row r="530">
      <c r="H530" s="72"/>
    </row>
    <row r="531">
      <c r="H531" s="72"/>
    </row>
    <row r="532">
      <c r="H532" s="72"/>
    </row>
    <row r="533">
      <c r="H533" s="72"/>
    </row>
    <row r="534">
      <c r="H534" s="72"/>
    </row>
    <row r="535">
      <c r="H535" s="72"/>
    </row>
    <row r="536">
      <c r="H536" s="72"/>
    </row>
    <row r="537">
      <c r="H537" s="72"/>
    </row>
    <row r="538">
      <c r="H538" s="72"/>
    </row>
    <row r="539">
      <c r="H539" s="72"/>
    </row>
    <row r="540">
      <c r="H540" s="72"/>
    </row>
    <row r="541">
      <c r="H541" s="72"/>
    </row>
    <row r="542">
      <c r="H542" s="72"/>
    </row>
    <row r="543">
      <c r="H543" s="72"/>
    </row>
    <row r="544">
      <c r="H544" s="72"/>
    </row>
    <row r="545">
      <c r="H545" s="72"/>
    </row>
    <row r="546">
      <c r="H546" s="72"/>
    </row>
    <row r="547">
      <c r="H547" s="72"/>
    </row>
    <row r="548">
      <c r="H548" s="72"/>
    </row>
    <row r="549">
      <c r="H549" s="72"/>
    </row>
    <row r="550">
      <c r="H550" s="72"/>
    </row>
    <row r="551">
      <c r="H551" s="72"/>
    </row>
    <row r="552">
      <c r="H552" s="72"/>
    </row>
    <row r="553">
      <c r="H553" s="72"/>
    </row>
    <row r="554">
      <c r="H554" s="72"/>
    </row>
    <row r="555">
      <c r="H555" s="72"/>
    </row>
    <row r="556">
      <c r="H556" s="72"/>
    </row>
    <row r="557">
      <c r="H557" s="72"/>
    </row>
    <row r="558">
      <c r="H558" s="72"/>
    </row>
    <row r="559">
      <c r="H559" s="72"/>
    </row>
    <row r="560">
      <c r="H560" s="72"/>
    </row>
    <row r="561">
      <c r="H561" s="72"/>
    </row>
    <row r="562">
      <c r="H562" s="72"/>
    </row>
    <row r="563">
      <c r="H563" s="72"/>
    </row>
    <row r="564">
      <c r="H564" s="72"/>
    </row>
    <row r="565">
      <c r="H565" s="72"/>
    </row>
    <row r="566">
      <c r="H566" s="72"/>
    </row>
    <row r="567">
      <c r="H567" s="72"/>
    </row>
    <row r="568">
      <c r="H568" s="72"/>
    </row>
    <row r="569">
      <c r="H569" s="72"/>
    </row>
    <row r="570">
      <c r="H570" s="72"/>
    </row>
    <row r="571">
      <c r="H571" s="72"/>
    </row>
    <row r="572">
      <c r="H572" s="72"/>
    </row>
    <row r="573">
      <c r="H573" s="72"/>
    </row>
    <row r="574">
      <c r="H574" s="72"/>
    </row>
    <row r="575">
      <c r="H575" s="72"/>
    </row>
    <row r="576">
      <c r="H576" s="72"/>
    </row>
    <row r="577">
      <c r="H577" s="72"/>
    </row>
    <row r="578">
      <c r="H578" s="72"/>
    </row>
    <row r="579">
      <c r="H579" s="72"/>
    </row>
    <row r="580">
      <c r="H580" s="72"/>
    </row>
    <row r="581">
      <c r="H581" s="72"/>
    </row>
    <row r="582">
      <c r="H582" s="72"/>
    </row>
    <row r="583">
      <c r="H583" s="72"/>
    </row>
    <row r="584">
      <c r="H584" s="72"/>
    </row>
    <row r="585">
      <c r="H585" s="72"/>
    </row>
    <row r="586">
      <c r="H586" s="72"/>
    </row>
    <row r="587">
      <c r="H587" s="72"/>
    </row>
    <row r="588">
      <c r="H588" s="72"/>
    </row>
    <row r="589">
      <c r="H589" s="72"/>
    </row>
    <row r="590">
      <c r="H590" s="72"/>
    </row>
    <row r="591">
      <c r="H591" s="72"/>
    </row>
    <row r="592">
      <c r="H592" s="72"/>
    </row>
    <row r="593">
      <c r="H593" s="72"/>
    </row>
    <row r="594">
      <c r="H594" s="72"/>
    </row>
    <row r="595">
      <c r="H595" s="72"/>
    </row>
    <row r="596">
      <c r="H596" s="72"/>
    </row>
    <row r="597">
      <c r="H597" s="72"/>
    </row>
    <row r="598">
      <c r="H598" s="72"/>
    </row>
    <row r="599">
      <c r="H599" s="72"/>
    </row>
    <row r="600">
      <c r="H600" s="72"/>
    </row>
    <row r="601">
      <c r="H601" s="72"/>
    </row>
    <row r="602">
      <c r="H602" s="72"/>
    </row>
    <row r="603">
      <c r="H603" s="72"/>
    </row>
    <row r="604">
      <c r="H604" s="72"/>
    </row>
    <row r="605">
      <c r="H605" s="72"/>
    </row>
    <row r="606">
      <c r="H606" s="72"/>
    </row>
    <row r="607">
      <c r="H607" s="72"/>
    </row>
    <row r="608">
      <c r="H608" s="72"/>
    </row>
    <row r="609">
      <c r="H609" s="72"/>
    </row>
    <row r="610">
      <c r="H610" s="72"/>
    </row>
    <row r="611">
      <c r="H611" s="72"/>
    </row>
    <row r="612">
      <c r="H612" s="72"/>
    </row>
    <row r="613">
      <c r="H613" s="72"/>
    </row>
    <row r="614">
      <c r="H614" s="72"/>
    </row>
    <row r="615">
      <c r="H615" s="72"/>
    </row>
    <row r="616">
      <c r="H616" s="72"/>
    </row>
    <row r="617">
      <c r="H617" s="72"/>
    </row>
    <row r="618">
      <c r="H618" s="72"/>
    </row>
    <row r="619">
      <c r="H619" s="72"/>
    </row>
    <row r="620">
      <c r="H620" s="72"/>
    </row>
    <row r="621">
      <c r="H621" s="72"/>
    </row>
    <row r="622">
      <c r="H622" s="72"/>
    </row>
    <row r="623">
      <c r="H623" s="72"/>
    </row>
    <row r="624">
      <c r="H624" s="72"/>
    </row>
    <row r="625">
      <c r="H625" s="72"/>
    </row>
    <row r="626">
      <c r="H626" s="72"/>
    </row>
    <row r="627">
      <c r="H627" s="72"/>
    </row>
    <row r="628">
      <c r="H628" s="72"/>
    </row>
    <row r="629">
      <c r="H629" s="72"/>
    </row>
    <row r="630">
      <c r="H630" s="72"/>
    </row>
    <row r="631">
      <c r="H631" s="72"/>
    </row>
    <row r="632">
      <c r="H632" s="72"/>
    </row>
    <row r="633">
      <c r="H633" s="72"/>
    </row>
    <row r="634">
      <c r="H634" s="72"/>
    </row>
    <row r="635">
      <c r="H635" s="72"/>
    </row>
    <row r="636">
      <c r="H636" s="72"/>
    </row>
    <row r="637">
      <c r="H637" s="72"/>
    </row>
    <row r="638">
      <c r="H638" s="72"/>
    </row>
    <row r="639">
      <c r="H639" s="72"/>
    </row>
    <row r="640">
      <c r="H640" s="72"/>
    </row>
    <row r="641">
      <c r="H641" s="72"/>
    </row>
    <row r="642">
      <c r="H642" s="72"/>
    </row>
    <row r="643">
      <c r="H643" s="72"/>
    </row>
    <row r="644">
      <c r="H644" s="72"/>
    </row>
    <row r="645">
      <c r="H645" s="72"/>
    </row>
    <row r="646">
      <c r="H646" s="72"/>
    </row>
    <row r="647">
      <c r="H647" s="72"/>
    </row>
    <row r="648">
      <c r="H648" s="72"/>
    </row>
    <row r="649">
      <c r="H649" s="72"/>
    </row>
    <row r="650">
      <c r="H650" s="72"/>
    </row>
    <row r="651">
      <c r="H651" s="72"/>
    </row>
    <row r="652">
      <c r="H652" s="72"/>
    </row>
    <row r="653">
      <c r="H653" s="72"/>
    </row>
    <row r="654">
      <c r="H654" s="72"/>
    </row>
    <row r="655">
      <c r="H655" s="72"/>
    </row>
    <row r="656">
      <c r="H656" s="72"/>
    </row>
    <row r="657">
      <c r="H657" s="72"/>
    </row>
    <row r="658">
      <c r="H658" s="72"/>
    </row>
    <row r="659">
      <c r="H659" s="72"/>
    </row>
    <row r="660">
      <c r="H660" s="72"/>
    </row>
    <row r="661">
      <c r="H661" s="72"/>
    </row>
    <row r="662">
      <c r="H662" s="72"/>
    </row>
    <row r="663">
      <c r="H663" s="72"/>
    </row>
    <row r="664">
      <c r="H664" s="72"/>
    </row>
    <row r="665">
      <c r="H665" s="72"/>
    </row>
    <row r="666">
      <c r="H666" s="72"/>
    </row>
    <row r="667">
      <c r="H667" s="72"/>
    </row>
    <row r="668">
      <c r="H668" s="72"/>
    </row>
    <row r="669">
      <c r="H669" s="72"/>
    </row>
    <row r="670">
      <c r="H670" s="72"/>
    </row>
    <row r="671">
      <c r="H671" s="72"/>
    </row>
    <row r="672">
      <c r="H672" s="72"/>
    </row>
    <row r="673">
      <c r="H673" s="72"/>
    </row>
    <row r="674">
      <c r="H674" s="72"/>
    </row>
    <row r="675">
      <c r="H675" s="72"/>
    </row>
    <row r="676">
      <c r="H676" s="72"/>
    </row>
    <row r="677">
      <c r="H677" s="72"/>
    </row>
    <row r="678">
      <c r="H678" s="72"/>
    </row>
    <row r="679">
      <c r="H679" s="72"/>
    </row>
    <row r="680">
      <c r="H680" s="72"/>
    </row>
    <row r="681">
      <c r="H681" s="72"/>
    </row>
    <row r="682">
      <c r="H682" s="72"/>
    </row>
    <row r="683">
      <c r="H683" s="72"/>
    </row>
    <row r="684">
      <c r="H684" s="72"/>
    </row>
    <row r="685">
      <c r="H685" s="72"/>
    </row>
    <row r="686">
      <c r="H686" s="72"/>
    </row>
    <row r="687">
      <c r="H687" s="72"/>
    </row>
    <row r="688">
      <c r="H688" s="72"/>
    </row>
    <row r="689">
      <c r="H689" s="72"/>
    </row>
    <row r="690">
      <c r="H690" s="72"/>
    </row>
    <row r="691">
      <c r="H691" s="72"/>
    </row>
    <row r="692">
      <c r="H692" s="72"/>
    </row>
    <row r="693">
      <c r="H693" s="72"/>
    </row>
    <row r="694">
      <c r="H694" s="72"/>
    </row>
    <row r="695">
      <c r="H695" s="72"/>
    </row>
    <row r="696">
      <c r="H696" s="72"/>
    </row>
    <row r="697">
      <c r="H697" s="72"/>
    </row>
    <row r="698">
      <c r="H698" s="72"/>
    </row>
    <row r="699">
      <c r="H699" s="72"/>
    </row>
    <row r="700">
      <c r="H700" s="72"/>
    </row>
    <row r="701">
      <c r="H701" s="72"/>
    </row>
    <row r="702">
      <c r="H702" s="72"/>
    </row>
    <row r="703">
      <c r="H703" s="72"/>
    </row>
    <row r="704">
      <c r="H704" s="72"/>
    </row>
    <row r="705">
      <c r="H705" s="72"/>
    </row>
    <row r="706">
      <c r="H706" s="72"/>
    </row>
    <row r="707">
      <c r="H707" s="72"/>
    </row>
    <row r="708">
      <c r="H708" s="72"/>
    </row>
    <row r="709">
      <c r="H709" s="72"/>
    </row>
    <row r="710">
      <c r="H710" s="72"/>
    </row>
    <row r="711">
      <c r="H711" s="72"/>
    </row>
    <row r="712">
      <c r="H712" s="72"/>
    </row>
    <row r="713">
      <c r="H713" s="72"/>
    </row>
    <row r="714">
      <c r="H714" s="72"/>
    </row>
    <row r="715">
      <c r="H715" s="72"/>
    </row>
    <row r="716">
      <c r="H716" s="72"/>
    </row>
    <row r="717">
      <c r="H717" s="72"/>
    </row>
    <row r="718">
      <c r="H718" s="72"/>
    </row>
    <row r="719">
      <c r="H719" s="72"/>
    </row>
    <row r="720">
      <c r="H720" s="72"/>
    </row>
    <row r="721">
      <c r="H721" s="72"/>
    </row>
    <row r="722">
      <c r="H722" s="72"/>
    </row>
    <row r="723">
      <c r="H723" s="72"/>
    </row>
    <row r="724">
      <c r="H724" s="72"/>
    </row>
    <row r="725">
      <c r="H725" s="72"/>
    </row>
    <row r="726">
      <c r="H726" s="72"/>
    </row>
    <row r="727">
      <c r="H727" s="72"/>
    </row>
    <row r="728">
      <c r="H728" s="72"/>
    </row>
    <row r="729">
      <c r="H729" s="72"/>
    </row>
    <row r="730">
      <c r="H730" s="72"/>
    </row>
    <row r="731">
      <c r="H731" s="72"/>
    </row>
    <row r="732">
      <c r="H732" s="72"/>
    </row>
    <row r="733">
      <c r="H733" s="72"/>
    </row>
    <row r="734">
      <c r="H734" s="72"/>
    </row>
    <row r="735">
      <c r="H735" s="72"/>
    </row>
    <row r="736">
      <c r="H736" s="72"/>
    </row>
    <row r="737">
      <c r="H737" s="72"/>
    </row>
    <row r="738">
      <c r="H738" s="72"/>
    </row>
    <row r="739">
      <c r="H739" s="72"/>
    </row>
    <row r="740">
      <c r="H740" s="72"/>
    </row>
    <row r="741">
      <c r="H741" s="72"/>
    </row>
    <row r="742">
      <c r="H742" s="72"/>
    </row>
    <row r="743">
      <c r="H743" s="72"/>
    </row>
    <row r="744">
      <c r="H744" s="72"/>
    </row>
    <row r="745">
      <c r="H745" s="72"/>
    </row>
    <row r="746">
      <c r="H746" s="72"/>
    </row>
    <row r="747">
      <c r="H747" s="72"/>
    </row>
    <row r="748">
      <c r="H748" s="72"/>
    </row>
    <row r="749">
      <c r="H749" s="72"/>
    </row>
    <row r="750">
      <c r="H750" s="72"/>
    </row>
    <row r="751">
      <c r="H751" s="72"/>
    </row>
    <row r="752">
      <c r="H752" s="72"/>
    </row>
    <row r="753">
      <c r="H753" s="72"/>
    </row>
    <row r="754">
      <c r="H754" s="72"/>
    </row>
    <row r="755">
      <c r="H755" s="72"/>
    </row>
    <row r="756">
      <c r="H756" s="72"/>
    </row>
    <row r="757">
      <c r="H757" s="72"/>
    </row>
    <row r="758">
      <c r="H758" s="72"/>
    </row>
    <row r="759">
      <c r="H759" s="72"/>
    </row>
    <row r="760">
      <c r="H760" s="72"/>
    </row>
    <row r="761">
      <c r="H761" s="72"/>
    </row>
    <row r="762">
      <c r="H762" s="72"/>
    </row>
    <row r="763">
      <c r="H763" s="72"/>
    </row>
    <row r="764">
      <c r="H764" s="72"/>
    </row>
    <row r="765">
      <c r="H765" s="72"/>
    </row>
    <row r="766">
      <c r="H766" s="72"/>
    </row>
    <row r="767">
      <c r="H767" s="72"/>
    </row>
    <row r="768">
      <c r="H768" s="72"/>
    </row>
    <row r="769">
      <c r="H769" s="72"/>
    </row>
    <row r="770">
      <c r="H770" s="72"/>
    </row>
    <row r="771">
      <c r="H771" s="72"/>
    </row>
    <row r="772">
      <c r="H772" s="72"/>
    </row>
    <row r="773">
      <c r="H773" s="72"/>
    </row>
    <row r="774">
      <c r="H774" s="72"/>
    </row>
    <row r="775">
      <c r="H775" s="72"/>
    </row>
    <row r="776">
      <c r="H776" s="72"/>
    </row>
    <row r="777">
      <c r="H777" s="72"/>
    </row>
    <row r="778">
      <c r="H778" s="72"/>
    </row>
    <row r="779">
      <c r="H779" s="72"/>
    </row>
    <row r="780">
      <c r="H780" s="72"/>
    </row>
    <row r="781">
      <c r="H781" s="72"/>
    </row>
    <row r="782">
      <c r="H782" s="72"/>
    </row>
    <row r="783">
      <c r="H783" s="72"/>
    </row>
    <row r="784">
      <c r="H784" s="72"/>
    </row>
    <row r="785">
      <c r="H785" s="72"/>
    </row>
    <row r="786">
      <c r="H786" s="72"/>
    </row>
    <row r="787">
      <c r="H787" s="72"/>
    </row>
    <row r="788">
      <c r="H788" s="72"/>
    </row>
    <row r="789">
      <c r="H789" s="72"/>
    </row>
    <row r="790">
      <c r="H790" s="72"/>
    </row>
    <row r="791">
      <c r="H791" s="72"/>
    </row>
    <row r="792">
      <c r="H792" s="72"/>
    </row>
    <row r="793">
      <c r="H793" s="72"/>
    </row>
    <row r="794">
      <c r="H794" s="72"/>
    </row>
    <row r="795">
      <c r="H795" s="72"/>
    </row>
    <row r="796">
      <c r="H796" s="72"/>
    </row>
    <row r="797">
      <c r="H797" s="72"/>
    </row>
    <row r="798">
      <c r="H798" s="72"/>
    </row>
    <row r="799">
      <c r="H799" s="72"/>
    </row>
    <row r="800">
      <c r="H800" s="72"/>
    </row>
    <row r="801">
      <c r="H801" s="72"/>
    </row>
    <row r="802">
      <c r="H802" s="72"/>
    </row>
    <row r="803">
      <c r="H803" s="72"/>
    </row>
    <row r="804">
      <c r="H804" s="72"/>
    </row>
    <row r="805">
      <c r="H805" s="72"/>
    </row>
    <row r="806">
      <c r="H806" s="72"/>
    </row>
    <row r="807">
      <c r="H807" s="72"/>
    </row>
    <row r="808">
      <c r="H808" s="72"/>
    </row>
    <row r="809">
      <c r="H809" s="72"/>
    </row>
    <row r="810">
      <c r="H810" s="72"/>
    </row>
    <row r="811">
      <c r="H811" s="72"/>
    </row>
    <row r="812">
      <c r="H812" s="72"/>
    </row>
    <row r="813">
      <c r="H813" s="72"/>
    </row>
    <row r="814">
      <c r="H814" s="72"/>
    </row>
    <row r="815">
      <c r="H815" s="72"/>
    </row>
    <row r="816">
      <c r="H816" s="72"/>
    </row>
    <row r="817">
      <c r="H817" s="72"/>
    </row>
    <row r="818">
      <c r="H818" s="72"/>
    </row>
    <row r="819">
      <c r="H819" s="72"/>
    </row>
    <row r="820">
      <c r="H820" s="72"/>
    </row>
    <row r="821">
      <c r="H821" s="72"/>
    </row>
    <row r="822">
      <c r="H822" s="72"/>
    </row>
    <row r="823">
      <c r="H823" s="72"/>
    </row>
    <row r="824">
      <c r="H824" s="72"/>
    </row>
    <row r="825">
      <c r="H825" s="72"/>
    </row>
    <row r="826">
      <c r="H826" s="72"/>
    </row>
    <row r="827">
      <c r="H827" s="72"/>
    </row>
    <row r="828">
      <c r="H828" s="72"/>
    </row>
    <row r="829">
      <c r="H829" s="72"/>
    </row>
    <row r="830">
      <c r="H830" s="72"/>
    </row>
    <row r="831">
      <c r="H831" s="72"/>
    </row>
    <row r="832">
      <c r="H832" s="72"/>
    </row>
    <row r="833">
      <c r="H833" s="72"/>
    </row>
    <row r="834">
      <c r="H834" s="72"/>
    </row>
    <row r="835">
      <c r="H835" s="72"/>
    </row>
    <row r="836">
      <c r="H836" s="72"/>
    </row>
    <row r="837">
      <c r="H837" s="72"/>
    </row>
    <row r="838">
      <c r="H838" s="72"/>
    </row>
    <row r="839">
      <c r="H839" s="72"/>
    </row>
    <row r="840">
      <c r="H840" s="72"/>
    </row>
    <row r="841">
      <c r="H841" s="72"/>
    </row>
    <row r="842">
      <c r="H842" s="72"/>
    </row>
    <row r="843">
      <c r="H843" s="72"/>
    </row>
    <row r="844">
      <c r="H844" s="72"/>
    </row>
    <row r="845">
      <c r="H845" s="72"/>
    </row>
    <row r="846">
      <c r="H846" s="72"/>
    </row>
    <row r="847">
      <c r="H847" s="72"/>
    </row>
    <row r="848">
      <c r="H848" s="72"/>
    </row>
    <row r="849">
      <c r="H849" s="72"/>
    </row>
    <row r="850">
      <c r="H850" s="72"/>
    </row>
    <row r="851">
      <c r="H851" s="72"/>
    </row>
    <row r="852">
      <c r="H852" s="72"/>
    </row>
    <row r="853">
      <c r="H853" s="72"/>
    </row>
    <row r="854">
      <c r="H854" s="72"/>
    </row>
    <row r="855">
      <c r="H855" s="72"/>
    </row>
    <row r="856">
      <c r="H856" s="72"/>
    </row>
    <row r="857">
      <c r="H857" s="72"/>
    </row>
    <row r="858">
      <c r="H858" s="72"/>
    </row>
    <row r="859">
      <c r="H859" s="72"/>
    </row>
    <row r="860">
      <c r="H860" s="72"/>
    </row>
    <row r="861">
      <c r="H861" s="72"/>
    </row>
    <row r="862">
      <c r="H862" s="72"/>
    </row>
    <row r="863">
      <c r="H863" s="72"/>
    </row>
    <row r="864">
      <c r="H864" s="72"/>
    </row>
    <row r="865">
      <c r="H865" s="72"/>
    </row>
    <row r="866">
      <c r="H866" s="72"/>
    </row>
    <row r="867">
      <c r="H867" s="72"/>
    </row>
    <row r="868">
      <c r="H868" s="72"/>
    </row>
    <row r="869">
      <c r="H869" s="72"/>
    </row>
    <row r="870">
      <c r="H870" s="72"/>
    </row>
    <row r="871">
      <c r="H871" s="72"/>
    </row>
    <row r="872">
      <c r="H872" s="72"/>
    </row>
    <row r="873">
      <c r="H873" s="72"/>
    </row>
    <row r="874">
      <c r="H874" s="72"/>
    </row>
    <row r="875">
      <c r="H875" s="72"/>
    </row>
    <row r="876">
      <c r="H876" s="72"/>
    </row>
    <row r="877">
      <c r="H877" s="72"/>
    </row>
    <row r="878">
      <c r="H878" s="72"/>
    </row>
    <row r="879">
      <c r="H879" s="72"/>
    </row>
    <row r="880">
      <c r="H880" s="72"/>
    </row>
    <row r="881">
      <c r="H881" s="72"/>
    </row>
    <row r="882">
      <c r="H882" s="72"/>
    </row>
    <row r="883">
      <c r="H883" s="72"/>
    </row>
    <row r="884">
      <c r="H884" s="72"/>
    </row>
    <row r="885">
      <c r="H885" s="72"/>
    </row>
    <row r="886">
      <c r="H886" s="72"/>
    </row>
    <row r="887">
      <c r="H887" s="72"/>
    </row>
    <row r="888">
      <c r="H888" s="72"/>
    </row>
    <row r="889">
      <c r="H889" s="72"/>
    </row>
    <row r="890">
      <c r="H890" s="72"/>
    </row>
    <row r="891">
      <c r="H891" s="72"/>
    </row>
    <row r="892">
      <c r="H892" s="72"/>
    </row>
    <row r="893">
      <c r="H893" s="72"/>
    </row>
    <row r="894">
      <c r="H894" s="72"/>
    </row>
    <row r="895">
      <c r="H895" s="72"/>
    </row>
    <row r="896">
      <c r="H896" s="72"/>
    </row>
    <row r="897">
      <c r="H897" s="72"/>
    </row>
    <row r="898">
      <c r="H898" s="72"/>
    </row>
    <row r="899">
      <c r="H899" s="72"/>
    </row>
    <row r="900">
      <c r="H900" s="72"/>
    </row>
    <row r="901">
      <c r="H901" s="72"/>
    </row>
    <row r="902">
      <c r="H902" s="72"/>
    </row>
    <row r="903">
      <c r="H903" s="72"/>
    </row>
    <row r="904">
      <c r="H904" s="72"/>
    </row>
    <row r="905">
      <c r="H905" s="72"/>
    </row>
    <row r="906">
      <c r="H906" s="72"/>
    </row>
    <row r="907">
      <c r="H907" s="72"/>
    </row>
    <row r="908">
      <c r="H908" s="72"/>
    </row>
    <row r="909">
      <c r="H909" s="72"/>
    </row>
    <row r="910">
      <c r="H910" s="72"/>
    </row>
    <row r="911">
      <c r="H911" s="72"/>
    </row>
    <row r="912">
      <c r="H912" s="72"/>
    </row>
    <row r="913">
      <c r="H913" s="72"/>
    </row>
    <row r="914">
      <c r="H914" s="72"/>
    </row>
    <row r="915">
      <c r="H915" s="72"/>
    </row>
    <row r="916">
      <c r="H916" s="72"/>
    </row>
    <row r="917">
      <c r="H917" s="72"/>
    </row>
    <row r="918">
      <c r="H918" s="72"/>
    </row>
    <row r="919">
      <c r="H919" s="72"/>
    </row>
    <row r="920">
      <c r="H920" s="72"/>
    </row>
    <row r="921">
      <c r="H921" s="72"/>
    </row>
    <row r="922">
      <c r="H922" s="72"/>
    </row>
    <row r="923">
      <c r="H923" s="72"/>
    </row>
    <row r="924">
      <c r="H924" s="72"/>
    </row>
    <row r="925">
      <c r="H925" s="72"/>
    </row>
    <row r="926">
      <c r="H926" s="72"/>
    </row>
    <row r="927">
      <c r="H927" s="72"/>
    </row>
    <row r="928">
      <c r="H928" s="72"/>
    </row>
    <row r="929">
      <c r="H929" s="72"/>
    </row>
    <row r="930">
      <c r="H930" s="72"/>
    </row>
    <row r="931">
      <c r="H931" s="72"/>
    </row>
    <row r="932">
      <c r="H932" s="72"/>
    </row>
    <row r="933">
      <c r="H933" s="72"/>
    </row>
    <row r="934">
      <c r="H934" s="72"/>
    </row>
    <row r="935">
      <c r="H935" s="72"/>
    </row>
    <row r="936">
      <c r="H936" s="72"/>
    </row>
    <row r="937">
      <c r="H937" s="72"/>
    </row>
    <row r="938">
      <c r="H938" s="72"/>
    </row>
    <row r="939">
      <c r="H939" s="72"/>
    </row>
    <row r="940">
      <c r="H940" s="72"/>
    </row>
    <row r="941">
      <c r="H941" s="72"/>
    </row>
    <row r="942">
      <c r="H942" s="72"/>
    </row>
    <row r="943">
      <c r="H943" s="72"/>
    </row>
    <row r="944">
      <c r="H944" s="72"/>
    </row>
    <row r="945">
      <c r="H945" s="72"/>
    </row>
    <row r="946">
      <c r="H946" s="72"/>
    </row>
    <row r="947">
      <c r="H947" s="72"/>
    </row>
    <row r="948">
      <c r="H948" s="72"/>
    </row>
    <row r="949">
      <c r="H949" s="72"/>
    </row>
    <row r="950">
      <c r="H950" s="72"/>
    </row>
    <row r="951">
      <c r="H951" s="72"/>
    </row>
    <row r="952">
      <c r="H952" s="72"/>
    </row>
    <row r="953">
      <c r="H953" s="72"/>
    </row>
    <row r="954">
      <c r="H954" s="72"/>
    </row>
    <row r="955">
      <c r="H955" s="72"/>
    </row>
    <row r="956">
      <c r="H956" s="72"/>
    </row>
    <row r="957">
      <c r="H957" s="72"/>
    </row>
    <row r="958">
      <c r="H958" s="72"/>
    </row>
    <row r="959">
      <c r="H959" s="72"/>
    </row>
    <row r="960">
      <c r="H960" s="72"/>
    </row>
    <row r="961">
      <c r="H961" s="72"/>
    </row>
    <row r="962">
      <c r="H962" s="72"/>
    </row>
    <row r="963">
      <c r="H963" s="72"/>
    </row>
    <row r="964">
      <c r="H964" s="72"/>
    </row>
    <row r="965">
      <c r="H965" s="72"/>
    </row>
    <row r="966">
      <c r="H966" s="72"/>
    </row>
    <row r="967">
      <c r="H967" s="72"/>
    </row>
    <row r="968">
      <c r="H968" s="72"/>
    </row>
    <row r="969">
      <c r="H969" s="72"/>
    </row>
    <row r="970">
      <c r="H970" s="72"/>
    </row>
    <row r="971">
      <c r="H971" s="72"/>
    </row>
    <row r="972">
      <c r="H972" s="72"/>
    </row>
    <row r="973">
      <c r="H973" s="72"/>
    </row>
    <row r="974">
      <c r="H974" s="72"/>
    </row>
    <row r="975">
      <c r="H975" s="72"/>
    </row>
    <row r="976">
      <c r="H976" s="72"/>
    </row>
    <row r="977">
      <c r="H977" s="72"/>
    </row>
    <row r="978">
      <c r="H978" s="72"/>
    </row>
    <row r="979">
      <c r="H979" s="72"/>
    </row>
    <row r="980">
      <c r="H980" s="72"/>
    </row>
    <row r="981">
      <c r="H981" s="72"/>
    </row>
    <row r="982">
      <c r="H982" s="72"/>
    </row>
    <row r="983">
      <c r="H983" s="72"/>
    </row>
    <row r="984">
      <c r="H984" s="72"/>
    </row>
    <row r="985">
      <c r="H985" s="72"/>
    </row>
    <row r="986">
      <c r="H986" s="72"/>
    </row>
    <row r="987">
      <c r="H987" s="72"/>
    </row>
    <row r="988">
      <c r="H988" s="72"/>
    </row>
    <row r="989">
      <c r="H989" s="72"/>
    </row>
    <row r="990">
      <c r="H990" s="72"/>
    </row>
    <row r="991">
      <c r="H991" s="72"/>
    </row>
    <row r="992">
      <c r="H992" s="72"/>
    </row>
    <row r="993">
      <c r="H993" s="72"/>
    </row>
    <row r="994">
      <c r="H994" s="72"/>
    </row>
    <row r="995">
      <c r="H995" s="72"/>
    </row>
    <row r="996">
      <c r="H996" s="72"/>
    </row>
    <row r="997">
      <c r="H997" s="72"/>
    </row>
    <row r="998">
      <c r="H998" s="72"/>
    </row>
    <row r="999">
      <c r="H999" s="72"/>
    </row>
  </sheetData>
  <hyperlinks>
    <hyperlink r:id="rId1" location="gid=1801088628" ref="I7"/>
    <hyperlink r:id="rId2" location="gid=1420856203" ref="I8"/>
    <hyperlink r:id="rId3" location="gid=908143852" ref="I10"/>
  </hyperlin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54.88"/>
    <col customWidth="1" min="3" max="3" width="23.13"/>
    <col customWidth="1" min="5" max="5" width="37.63"/>
    <col customWidth="1" min="7" max="7" width="13.0"/>
    <col customWidth="1" min="8" max="8" width="16.38"/>
  </cols>
  <sheetData>
    <row r="1">
      <c r="A1" s="69"/>
      <c r="B1" s="69" t="s">
        <v>110</v>
      </c>
      <c r="C1" s="69"/>
      <c r="D1" s="69"/>
      <c r="E1" s="69" t="s">
        <v>111</v>
      </c>
      <c r="F1" s="69"/>
      <c r="G1" s="69"/>
      <c r="H1" s="70"/>
      <c r="I1" s="69"/>
    </row>
    <row r="2">
      <c r="A2" s="69" t="s">
        <v>112</v>
      </c>
      <c r="B2" s="69" t="s">
        <v>113</v>
      </c>
      <c r="C2" s="69" t="s">
        <v>114</v>
      </c>
      <c r="D2" s="69" t="s">
        <v>115</v>
      </c>
      <c r="E2" s="69" t="s">
        <v>116</v>
      </c>
      <c r="F2" s="69" t="s">
        <v>117</v>
      </c>
      <c r="G2" s="69" t="s">
        <v>118</v>
      </c>
      <c r="H2" s="70" t="s">
        <v>119</v>
      </c>
      <c r="I2" s="69" t="s">
        <v>120</v>
      </c>
    </row>
    <row r="3">
      <c r="A3" s="54" t="s">
        <v>192</v>
      </c>
      <c r="B3" s="54" t="s">
        <v>193</v>
      </c>
      <c r="C3" s="54" t="s">
        <v>156</v>
      </c>
      <c r="H3" s="72"/>
    </row>
    <row r="4">
      <c r="B4" s="54" t="s">
        <v>194</v>
      </c>
      <c r="D4" s="54" t="s">
        <v>35</v>
      </c>
      <c r="E4" s="73" t="s">
        <v>195</v>
      </c>
      <c r="F4" s="54" t="s">
        <v>128</v>
      </c>
      <c r="G4" s="54" t="s">
        <v>196</v>
      </c>
      <c r="H4" s="71">
        <v>265745.0</v>
      </c>
    </row>
    <row r="5">
      <c r="B5" s="54" t="s">
        <v>197</v>
      </c>
      <c r="D5" s="54" t="s">
        <v>35</v>
      </c>
      <c r="E5" s="54" t="s">
        <v>198</v>
      </c>
      <c r="F5" s="54" t="s">
        <v>128</v>
      </c>
      <c r="G5" s="54" t="s">
        <v>196</v>
      </c>
      <c r="H5" s="74" t="s">
        <v>199</v>
      </c>
    </row>
    <row r="6">
      <c r="B6" s="54" t="s">
        <v>200</v>
      </c>
      <c r="C6" s="54" t="s">
        <v>156</v>
      </c>
      <c r="F6" s="54" t="s">
        <v>128</v>
      </c>
      <c r="H6" s="72"/>
    </row>
    <row r="7">
      <c r="B7" s="54" t="s">
        <v>201</v>
      </c>
      <c r="C7" s="54" t="s">
        <v>156</v>
      </c>
      <c r="F7" s="54" t="s">
        <v>128</v>
      </c>
      <c r="H7" s="72"/>
    </row>
    <row r="8">
      <c r="B8" s="54" t="s">
        <v>202</v>
      </c>
      <c r="C8" s="54" t="s">
        <v>156</v>
      </c>
      <c r="F8" s="54" t="s">
        <v>203</v>
      </c>
      <c r="H8" s="72"/>
    </row>
    <row r="9">
      <c r="B9" s="54" t="s">
        <v>204</v>
      </c>
      <c r="D9" s="54" t="s">
        <v>35</v>
      </c>
      <c r="E9" s="54" t="s">
        <v>205</v>
      </c>
      <c r="F9" s="54" t="s">
        <v>128</v>
      </c>
      <c r="G9" s="54" t="s">
        <v>163</v>
      </c>
      <c r="H9" s="74" t="s">
        <v>164</v>
      </c>
    </row>
    <row r="10">
      <c r="B10" s="54" t="s">
        <v>206</v>
      </c>
      <c r="D10" s="54" t="s">
        <v>35</v>
      </c>
      <c r="E10" s="54" t="s">
        <v>207</v>
      </c>
      <c r="F10" s="54" t="s">
        <v>128</v>
      </c>
      <c r="G10" s="54" t="s">
        <v>208</v>
      </c>
      <c r="H10" s="74" t="s">
        <v>209</v>
      </c>
    </row>
    <row r="11">
      <c r="B11" s="54" t="s">
        <v>210</v>
      </c>
      <c r="D11" s="54" t="s">
        <v>35</v>
      </c>
      <c r="E11" s="54" t="s">
        <v>211</v>
      </c>
      <c r="F11" s="54" t="s">
        <v>128</v>
      </c>
      <c r="G11" s="54" t="s">
        <v>167</v>
      </c>
      <c r="H11" s="74" t="s">
        <v>212</v>
      </c>
    </row>
    <row r="12">
      <c r="B12" s="54" t="s">
        <v>213</v>
      </c>
      <c r="C12" s="54" t="s">
        <v>156</v>
      </c>
      <c r="F12" s="54" t="s">
        <v>124</v>
      </c>
      <c r="H12" s="72"/>
    </row>
    <row r="13">
      <c r="B13" s="54" t="s">
        <v>214</v>
      </c>
      <c r="C13" s="54" t="s">
        <v>156</v>
      </c>
      <c r="F13" s="54" t="s">
        <v>124</v>
      </c>
      <c r="H13" s="72"/>
    </row>
    <row r="14">
      <c r="B14" s="54" t="s">
        <v>215</v>
      </c>
      <c r="D14" s="54" t="s">
        <v>35</v>
      </c>
      <c r="E14" s="54" t="s">
        <v>216</v>
      </c>
      <c r="F14" s="54" t="s">
        <v>128</v>
      </c>
      <c r="G14" s="54" t="s">
        <v>133</v>
      </c>
      <c r="H14" s="74" t="s">
        <v>217</v>
      </c>
    </row>
    <row r="15">
      <c r="B15" s="54" t="s">
        <v>218</v>
      </c>
      <c r="D15" s="54" t="s">
        <v>35</v>
      </c>
      <c r="E15" s="54" t="s">
        <v>219</v>
      </c>
      <c r="F15" s="54" t="s">
        <v>128</v>
      </c>
      <c r="G15" s="54" t="s">
        <v>220</v>
      </c>
      <c r="H15" s="72"/>
    </row>
    <row r="16">
      <c r="B16" s="54" t="s">
        <v>221</v>
      </c>
      <c r="D16" s="54" t="s">
        <v>35</v>
      </c>
      <c r="E16" s="54" t="s">
        <v>222</v>
      </c>
      <c r="F16" s="54" t="s">
        <v>128</v>
      </c>
      <c r="G16" s="54" t="s">
        <v>223</v>
      </c>
      <c r="H16" s="83">
        <v>2.48345674E8</v>
      </c>
    </row>
    <row r="17">
      <c r="B17" s="54" t="s">
        <v>224</v>
      </c>
      <c r="C17" s="54" t="s">
        <v>156</v>
      </c>
      <c r="F17" s="54" t="s">
        <v>128</v>
      </c>
      <c r="H17" s="72"/>
    </row>
    <row r="18">
      <c r="B18" s="54" t="s">
        <v>225</v>
      </c>
      <c r="D18" s="54" t="s">
        <v>35</v>
      </c>
      <c r="E18" s="54" t="s">
        <v>226</v>
      </c>
      <c r="F18" s="54" t="s">
        <v>128</v>
      </c>
      <c r="G18" s="54" t="s">
        <v>133</v>
      </c>
      <c r="H18" s="74" t="s">
        <v>227</v>
      </c>
    </row>
    <row r="19">
      <c r="B19" s="54" t="s">
        <v>176</v>
      </c>
      <c r="C19" s="54" t="s">
        <v>156</v>
      </c>
      <c r="F19" s="54" t="s">
        <v>128</v>
      </c>
      <c r="H19" s="72"/>
    </row>
    <row r="20">
      <c r="B20" s="54" t="s">
        <v>177</v>
      </c>
      <c r="D20" s="54" t="s">
        <v>35</v>
      </c>
      <c r="E20" s="54" t="s">
        <v>228</v>
      </c>
      <c r="F20" s="54" t="s">
        <v>124</v>
      </c>
      <c r="G20" s="54" t="s">
        <v>181</v>
      </c>
      <c r="H20" s="72"/>
    </row>
    <row r="21">
      <c r="B21" s="54" t="s">
        <v>229</v>
      </c>
      <c r="C21" s="54" t="s">
        <v>156</v>
      </c>
      <c r="H21" s="72"/>
    </row>
    <row r="22">
      <c r="B22" s="54" t="s">
        <v>230</v>
      </c>
      <c r="D22" s="54" t="s">
        <v>35</v>
      </c>
      <c r="E22" s="54" t="s">
        <v>231</v>
      </c>
      <c r="F22" s="54" t="s">
        <v>128</v>
      </c>
      <c r="G22" s="54" t="s">
        <v>181</v>
      </c>
      <c r="H22" s="72"/>
    </row>
    <row r="23">
      <c r="B23" s="54" t="s">
        <v>232</v>
      </c>
      <c r="D23" s="54" t="s">
        <v>35</v>
      </c>
      <c r="E23" s="54" t="s">
        <v>233</v>
      </c>
      <c r="F23" s="54" t="s">
        <v>128</v>
      </c>
      <c r="G23" s="54" t="s">
        <v>133</v>
      </c>
      <c r="H23" s="74" t="s">
        <v>234</v>
      </c>
    </row>
    <row r="24">
      <c r="H24" s="72"/>
    </row>
    <row r="25">
      <c r="H25" s="72"/>
    </row>
    <row r="26">
      <c r="H26" s="72"/>
    </row>
    <row r="27">
      <c r="H27" s="72"/>
    </row>
    <row r="28">
      <c r="H28" s="72"/>
    </row>
    <row r="29">
      <c r="H29" s="72"/>
    </row>
    <row r="30">
      <c r="H30" s="72"/>
    </row>
    <row r="31">
      <c r="H31" s="72"/>
    </row>
    <row r="32">
      <c r="H32" s="72"/>
    </row>
    <row r="33">
      <c r="H33" s="72"/>
    </row>
    <row r="34">
      <c r="H34" s="72"/>
    </row>
    <row r="35">
      <c r="H35" s="72"/>
    </row>
    <row r="36">
      <c r="H36" s="72"/>
    </row>
    <row r="37">
      <c r="H37" s="72"/>
    </row>
    <row r="38">
      <c r="H38" s="72"/>
    </row>
    <row r="39">
      <c r="H39" s="72"/>
    </row>
    <row r="40">
      <c r="H40" s="72"/>
    </row>
    <row r="41">
      <c r="H41" s="72"/>
    </row>
    <row r="42">
      <c r="H42" s="72"/>
    </row>
    <row r="43">
      <c r="H43" s="72"/>
    </row>
    <row r="44">
      <c r="H44" s="72"/>
    </row>
    <row r="45">
      <c r="H45" s="72"/>
    </row>
    <row r="46">
      <c r="H46" s="72"/>
    </row>
    <row r="47">
      <c r="H47" s="72"/>
    </row>
    <row r="48">
      <c r="H48" s="72"/>
    </row>
    <row r="49">
      <c r="H49" s="72"/>
    </row>
    <row r="50">
      <c r="H50" s="72"/>
    </row>
    <row r="51">
      <c r="H51" s="72"/>
    </row>
    <row r="52">
      <c r="H52" s="72"/>
    </row>
    <row r="53">
      <c r="H53" s="72"/>
    </row>
    <row r="54">
      <c r="H54" s="72"/>
    </row>
    <row r="55">
      <c r="H55" s="72"/>
    </row>
    <row r="56">
      <c r="H56" s="72"/>
    </row>
    <row r="57">
      <c r="H57" s="72"/>
    </row>
    <row r="58">
      <c r="H58" s="72"/>
    </row>
    <row r="59">
      <c r="H59" s="72"/>
    </row>
    <row r="60">
      <c r="H60" s="72"/>
    </row>
    <row r="61">
      <c r="H61" s="72"/>
    </row>
    <row r="62">
      <c r="H62" s="72"/>
    </row>
    <row r="63">
      <c r="H63" s="72"/>
    </row>
    <row r="64">
      <c r="H64" s="72"/>
    </row>
    <row r="65">
      <c r="H65" s="72"/>
    </row>
    <row r="66">
      <c r="H66" s="72"/>
    </row>
    <row r="67">
      <c r="H67" s="72"/>
    </row>
    <row r="68">
      <c r="H68" s="72"/>
    </row>
    <row r="69">
      <c r="H69" s="72"/>
    </row>
    <row r="70">
      <c r="H70" s="72"/>
    </row>
    <row r="71">
      <c r="H71" s="72"/>
    </row>
    <row r="72">
      <c r="H72" s="72"/>
    </row>
    <row r="73">
      <c r="H73" s="72"/>
    </row>
    <row r="74">
      <c r="H74" s="72"/>
    </row>
    <row r="75">
      <c r="H75" s="72"/>
    </row>
    <row r="76">
      <c r="H76" s="72"/>
    </row>
    <row r="77">
      <c r="H77" s="72"/>
    </row>
    <row r="78">
      <c r="H78" s="72"/>
    </row>
    <row r="79">
      <c r="H79" s="72"/>
    </row>
    <row r="80">
      <c r="H80" s="72"/>
    </row>
    <row r="81">
      <c r="H81" s="72"/>
    </row>
    <row r="82">
      <c r="H82" s="72"/>
    </row>
    <row r="83">
      <c r="H83" s="72"/>
    </row>
    <row r="84">
      <c r="H84" s="72"/>
    </row>
    <row r="85">
      <c r="H85" s="72"/>
    </row>
    <row r="86">
      <c r="H86" s="72"/>
    </row>
    <row r="87">
      <c r="H87" s="72"/>
    </row>
    <row r="88">
      <c r="H88" s="72"/>
    </row>
    <row r="89">
      <c r="H89" s="72"/>
    </row>
    <row r="90">
      <c r="H90" s="72"/>
    </row>
    <row r="91">
      <c r="H91" s="72"/>
    </row>
    <row r="92">
      <c r="H92" s="72"/>
    </row>
    <row r="93">
      <c r="H93" s="72"/>
    </row>
    <row r="94">
      <c r="H94" s="72"/>
    </row>
    <row r="95">
      <c r="H95" s="72"/>
    </row>
    <row r="96">
      <c r="H96" s="72"/>
    </row>
    <row r="97">
      <c r="H97" s="72"/>
    </row>
    <row r="98">
      <c r="H98" s="72"/>
    </row>
    <row r="99">
      <c r="H99" s="72"/>
    </row>
    <row r="100">
      <c r="H100" s="72"/>
    </row>
    <row r="101">
      <c r="H101" s="72"/>
    </row>
    <row r="102">
      <c r="H102" s="72"/>
    </row>
    <row r="103">
      <c r="H103" s="72"/>
    </row>
    <row r="104">
      <c r="H104" s="72"/>
    </row>
    <row r="105">
      <c r="H105" s="72"/>
    </row>
    <row r="106">
      <c r="H106" s="72"/>
    </row>
    <row r="107">
      <c r="H107" s="72"/>
    </row>
    <row r="108">
      <c r="H108" s="72"/>
    </row>
    <row r="109">
      <c r="H109" s="72"/>
    </row>
    <row r="110">
      <c r="H110" s="72"/>
    </row>
    <row r="111">
      <c r="H111" s="72"/>
    </row>
    <row r="112">
      <c r="H112" s="72"/>
    </row>
    <row r="113">
      <c r="H113" s="72"/>
    </row>
    <row r="114">
      <c r="H114" s="72"/>
    </row>
    <row r="115">
      <c r="H115" s="72"/>
    </row>
    <row r="116">
      <c r="H116" s="72"/>
    </row>
    <row r="117">
      <c r="H117" s="72"/>
    </row>
    <row r="118">
      <c r="H118" s="72"/>
    </row>
    <row r="119">
      <c r="H119" s="72"/>
    </row>
    <row r="120">
      <c r="H120" s="72"/>
    </row>
    <row r="121">
      <c r="H121" s="72"/>
    </row>
    <row r="122">
      <c r="H122" s="72"/>
    </row>
    <row r="123">
      <c r="H123" s="72"/>
    </row>
    <row r="124">
      <c r="H124" s="72"/>
    </row>
    <row r="125">
      <c r="H125" s="72"/>
    </row>
    <row r="126">
      <c r="H126" s="72"/>
    </row>
    <row r="127">
      <c r="H127" s="72"/>
    </row>
    <row r="128">
      <c r="H128" s="72"/>
    </row>
    <row r="129">
      <c r="H129" s="72"/>
    </row>
    <row r="130">
      <c r="H130" s="72"/>
    </row>
    <row r="131">
      <c r="H131" s="72"/>
    </row>
    <row r="132">
      <c r="H132" s="72"/>
    </row>
    <row r="133">
      <c r="H133" s="72"/>
    </row>
    <row r="134">
      <c r="H134" s="72"/>
    </row>
    <row r="135">
      <c r="H135" s="72"/>
    </row>
    <row r="136">
      <c r="H136" s="72"/>
    </row>
    <row r="137">
      <c r="H137" s="72"/>
    </row>
    <row r="138">
      <c r="H138" s="72"/>
    </row>
    <row r="139">
      <c r="H139" s="72"/>
    </row>
    <row r="140">
      <c r="H140" s="72"/>
    </row>
    <row r="141">
      <c r="H141" s="72"/>
    </row>
    <row r="142">
      <c r="H142" s="72"/>
    </row>
    <row r="143">
      <c r="H143" s="72"/>
    </row>
    <row r="144">
      <c r="H144" s="72"/>
    </row>
    <row r="145">
      <c r="H145" s="72"/>
    </row>
    <row r="146">
      <c r="H146" s="72"/>
    </row>
    <row r="147">
      <c r="H147" s="72"/>
    </row>
    <row r="148">
      <c r="H148" s="72"/>
    </row>
    <row r="149">
      <c r="H149" s="72"/>
    </row>
    <row r="150">
      <c r="H150" s="72"/>
    </row>
    <row r="151">
      <c r="H151" s="72"/>
    </row>
    <row r="152">
      <c r="H152" s="72"/>
    </row>
    <row r="153">
      <c r="H153" s="72"/>
    </row>
    <row r="154">
      <c r="H154" s="72"/>
    </row>
    <row r="155">
      <c r="H155" s="72"/>
    </row>
    <row r="156">
      <c r="H156" s="72"/>
    </row>
    <row r="157">
      <c r="H157" s="72"/>
    </row>
    <row r="158">
      <c r="H158" s="72"/>
    </row>
    <row r="159">
      <c r="H159" s="72"/>
    </row>
    <row r="160">
      <c r="H160" s="72"/>
    </row>
    <row r="161">
      <c r="H161" s="72"/>
    </row>
    <row r="162">
      <c r="H162" s="72"/>
    </row>
    <row r="163">
      <c r="H163" s="72"/>
    </row>
    <row r="164">
      <c r="H164" s="72"/>
    </row>
    <row r="165">
      <c r="H165" s="72"/>
    </row>
    <row r="166">
      <c r="H166" s="72"/>
    </row>
    <row r="167">
      <c r="H167" s="72"/>
    </row>
    <row r="168">
      <c r="H168" s="72"/>
    </row>
    <row r="169">
      <c r="H169" s="72"/>
    </row>
    <row r="170">
      <c r="H170" s="72"/>
    </row>
    <row r="171">
      <c r="H171" s="72"/>
    </row>
    <row r="172">
      <c r="H172" s="72"/>
    </row>
    <row r="173">
      <c r="H173" s="72"/>
    </row>
    <row r="174">
      <c r="H174" s="72"/>
    </row>
    <row r="175">
      <c r="H175" s="72"/>
    </row>
    <row r="176">
      <c r="H176" s="72"/>
    </row>
    <row r="177">
      <c r="H177" s="72"/>
    </row>
    <row r="178">
      <c r="H178" s="72"/>
    </row>
    <row r="179">
      <c r="H179" s="72"/>
    </row>
    <row r="180">
      <c r="H180" s="72"/>
    </row>
    <row r="181">
      <c r="H181" s="72"/>
    </row>
    <row r="182">
      <c r="H182" s="72"/>
    </row>
    <row r="183">
      <c r="H183" s="72"/>
    </row>
    <row r="184">
      <c r="H184" s="72"/>
    </row>
    <row r="185">
      <c r="H185" s="72"/>
    </row>
    <row r="186">
      <c r="H186" s="72"/>
    </row>
    <row r="187">
      <c r="H187" s="72"/>
    </row>
    <row r="188">
      <c r="H188" s="72"/>
    </row>
    <row r="189">
      <c r="H189" s="72"/>
    </row>
    <row r="190">
      <c r="H190" s="72"/>
    </row>
    <row r="191">
      <c r="H191" s="72"/>
    </row>
    <row r="192">
      <c r="H192" s="72"/>
    </row>
    <row r="193">
      <c r="H193" s="72"/>
    </row>
    <row r="194">
      <c r="H194" s="72"/>
    </row>
    <row r="195">
      <c r="H195" s="72"/>
    </row>
    <row r="196">
      <c r="H196" s="72"/>
    </row>
    <row r="197">
      <c r="H197" s="72"/>
    </row>
    <row r="198">
      <c r="H198" s="72"/>
    </row>
    <row r="199">
      <c r="H199" s="72"/>
    </row>
    <row r="200">
      <c r="H200" s="72"/>
    </row>
    <row r="201">
      <c r="H201" s="72"/>
    </row>
    <row r="202">
      <c r="H202" s="72"/>
    </row>
    <row r="203">
      <c r="H203" s="72"/>
    </row>
    <row r="204">
      <c r="H204" s="72"/>
    </row>
    <row r="205">
      <c r="H205" s="72"/>
    </row>
    <row r="206">
      <c r="H206" s="72"/>
    </row>
    <row r="207">
      <c r="H207" s="72"/>
    </row>
    <row r="208">
      <c r="H208" s="72"/>
    </row>
    <row r="209">
      <c r="H209" s="72"/>
    </row>
    <row r="210">
      <c r="H210" s="72"/>
    </row>
    <row r="211">
      <c r="H211" s="72"/>
    </row>
    <row r="212">
      <c r="H212" s="72"/>
    </row>
    <row r="213">
      <c r="H213" s="72"/>
    </row>
    <row r="214">
      <c r="H214" s="72"/>
    </row>
    <row r="215">
      <c r="H215" s="72"/>
    </row>
    <row r="216">
      <c r="H216" s="72"/>
    </row>
    <row r="217">
      <c r="H217" s="72"/>
    </row>
    <row r="218">
      <c r="H218" s="72"/>
    </row>
    <row r="219">
      <c r="H219" s="72"/>
    </row>
    <row r="220">
      <c r="H220" s="72"/>
    </row>
    <row r="221">
      <c r="H221" s="72"/>
    </row>
    <row r="222">
      <c r="H222" s="72"/>
    </row>
    <row r="223">
      <c r="H223" s="72"/>
    </row>
    <row r="224">
      <c r="H224" s="72"/>
    </row>
    <row r="225">
      <c r="H225" s="72"/>
    </row>
    <row r="226">
      <c r="H226" s="72"/>
    </row>
    <row r="227">
      <c r="H227" s="72"/>
    </row>
    <row r="228">
      <c r="H228" s="72"/>
    </row>
    <row r="229">
      <c r="H229" s="72"/>
    </row>
    <row r="230">
      <c r="H230" s="72"/>
    </row>
    <row r="231">
      <c r="H231" s="72"/>
    </row>
    <row r="232">
      <c r="H232" s="72"/>
    </row>
    <row r="233">
      <c r="H233" s="72"/>
    </row>
    <row r="234">
      <c r="H234" s="72"/>
    </row>
    <row r="235">
      <c r="H235" s="72"/>
    </row>
    <row r="236">
      <c r="H236" s="72"/>
    </row>
    <row r="237">
      <c r="H237" s="72"/>
    </row>
    <row r="238">
      <c r="H238" s="72"/>
    </row>
    <row r="239">
      <c r="H239" s="72"/>
    </row>
    <row r="240">
      <c r="H240" s="72"/>
    </row>
    <row r="241">
      <c r="H241" s="72"/>
    </row>
    <row r="242">
      <c r="H242" s="72"/>
    </row>
    <row r="243">
      <c r="H243" s="72"/>
    </row>
    <row r="244">
      <c r="H244" s="72"/>
    </row>
    <row r="245">
      <c r="H245" s="72"/>
    </row>
    <row r="246">
      <c r="H246" s="72"/>
    </row>
    <row r="247">
      <c r="H247" s="72"/>
    </row>
    <row r="248">
      <c r="H248" s="72"/>
    </row>
    <row r="249">
      <c r="H249" s="72"/>
    </row>
    <row r="250">
      <c r="H250" s="72"/>
    </row>
    <row r="251">
      <c r="H251" s="72"/>
    </row>
    <row r="252">
      <c r="H252" s="72"/>
    </row>
    <row r="253">
      <c r="H253" s="72"/>
    </row>
    <row r="254">
      <c r="H254" s="72"/>
    </row>
    <row r="255">
      <c r="H255" s="72"/>
    </row>
    <row r="256">
      <c r="H256" s="72"/>
    </row>
    <row r="257">
      <c r="H257" s="72"/>
    </row>
    <row r="258">
      <c r="H258" s="72"/>
    </row>
    <row r="259">
      <c r="H259" s="72"/>
    </row>
    <row r="260">
      <c r="H260" s="72"/>
    </row>
    <row r="261">
      <c r="H261" s="72"/>
    </row>
    <row r="262">
      <c r="H262" s="72"/>
    </row>
    <row r="263">
      <c r="H263" s="72"/>
    </row>
    <row r="264">
      <c r="H264" s="72"/>
    </row>
    <row r="265">
      <c r="H265" s="72"/>
    </row>
    <row r="266">
      <c r="H266" s="72"/>
    </row>
    <row r="267">
      <c r="H267" s="72"/>
    </row>
    <row r="268">
      <c r="H268" s="72"/>
    </row>
    <row r="269">
      <c r="H269" s="72"/>
    </row>
    <row r="270">
      <c r="H270" s="72"/>
    </row>
    <row r="271">
      <c r="H271" s="72"/>
    </row>
    <row r="272">
      <c r="H272" s="72"/>
    </row>
    <row r="273">
      <c r="H273" s="72"/>
    </row>
    <row r="274">
      <c r="H274" s="72"/>
    </row>
    <row r="275">
      <c r="H275" s="72"/>
    </row>
    <row r="276">
      <c r="H276" s="72"/>
    </row>
    <row r="277">
      <c r="H277" s="72"/>
    </row>
    <row r="278">
      <c r="H278" s="72"/>
    </row>
    <row r="279">
      <c r="H279" s="72"/>
    </row>
    <row r="280">
      <c r="H280" s="72"/>
    </row>
    <row r="281">
      <c r="H281" s="72"/>
    </row>
    <row r="282">
      <c r="H282" s="72"/>
    </row>
    <row r="283">
      <c r="H283" s="72"/>
    </row>
    <row r="284">
      <c r="H284" s="72"/>
    </row>
    <row r="285">
      <c r="H285" s="72"/>
    </row>
    <row r="286">
      <c r="H286" s="72"/>
    </row>
    <row r="287">
      <c r="H287" s="72"/>
    </row>
    <row r="288">
      <c r="H288" s="72"/>
    </row>
    <row r="289">
      <c r="H289" s="72"/>
    </row>
    <row r="290">
      <c r="H290" s="72"/>
    </row>
    <row r="291">
      <c r="H291" s="72"/>
    </row>
    <row r="292">
      <c r="H292" s="72"/>
    </row>
    <row r="293">
      <c r="H293" s="72"/>
    </row>
    <row r="294">
      <c r="H294" s="72"/>
    </row>
    <row r="295">
      <c r="H295" s="72"/>
    </row>
    <row r="296">
      <c r="H296" s="72"/>
    </row>
    <row r="297">
      <c r="H297" s="72"/>
    </row>
    <row r="298">
      <c r="H298" s="72"/>
    </row>
    <row r="299">
      <c r="H299" s="72"/>
    </row>
    <row r="300">
      <c r="H300" s="72"/>
    </row>
    <row r="301">
      <c r="H301" s="72"/>
    </row>
    <row r="302">
      <c r="H302" s="72"/>
    </row>
    <row r="303">
      <c r="H303" s="72"/>
    </row>
    <row r="304">
      <c r="H304" s="72"/>
    </row>
    <row r="305">
      <c r="H305" s="72"/>
    </row>
    <row r="306">
      <c r="H306" s="72"/>
    </row>
    <row r="307">
      <c r="H307" s="72"/>
    </row>
    <row r="308">
      <c r="H308" s="72"/>
    </row>
    <row r="309">
      <c r="H309" s="72"/>
    </row>
    <row r="310">
      <c r="H310" s="72"/>
    </row>
    <row r="311">
      <c r="H311" s="72"/>
    </row>
    <row r="312">
      <c r="H312" s="72"/>
    </row>
    <row r="313">
      <c r="H313" s="72"/>
    </row>
    <row r="314">
      <c r="H314" s="72"/>
    </row>
    <row r="315">
      <c r="H315" s="72"/>
    </row>
    <row r="316">
      <c r="H316" s="72"/>
    </row>
    <row r="317">
      <c r="H317" s="72"/>
    </row>
    <row r="318">
      <c r="H318" s="72"/>
    </row>
    <row r="319">
      <c r="H319" s="72"/>
    </row>
    <row r="320">
      <c r="H320" s="72"/>
    </row>
    <row r="321">
      <c r="H321" s="72"/>
    </row>
    <row r="322">
      <c r="H322" s="72"/>
    </row>
    <row r="323">
      <c r="H323" s="72"/>
    </row>
    <row r="324">
      <c r="H324" s="72"/>
    </row>
    <row r="325">
      <c r="H325" s="72"/>
    </row>
    <row r="326">
      <c r="H326" s="72"/>
    </row>
    <row r="327">
      <c r="H327" s="72"/>
    </row>
    <row r="328">
      <c r="H328" s="72"/>
    </row>
    <row r="329">
      <c r="H329" s="72"/>
    </row>
    <row r="330">
      <c r="H330" s="72"/>
    </row>
    <row r="331">
      <c r="H331" s="72"/>
    </row>
    <row r="332">
      <c r="H332" s="72"/>
    </row>
    <row r="333">
      <c r="H333" s="72"/>
    </row>
    <row r="334">
      <c r="H334" s="72"/>
    </row>
    <row r="335">
      <c r="H335" s="72"/>
    </row>
    <row r="336">
      <c r="H336" s="72"/>
    </row>
    <row r="337">
      <c r="H337" s="72"/>
    </row>
    <row r="338">
      <c r="H338" s="72"/>
    </row>
    <row r="339">
      <c r="H339" s="72"/>
    </row>
    <row r="340">
      <c r="H340" s="72"/>
    </row>
    <row r="341">
      <c r="H341" s="72"/>
    </row>
    <row r="342">
      <c r="H342" s="72"/>
    </row>
    <row r="343">
      <c r="H343" s="72"/>
    </row>
    <row r="344">
      <c r="H344" s="72"/>
    </row>
    <row r="345">
      <c r="H345" s="72"/>
    </row>
    <row r="346">
      <c r="H346" s="72"/>
    </row>
    <row r="347">
      <c r="H347" s="72"/>
    </row>
    <row r="348">
      <c r="H348" s="72"/>
    </row>
    <row r="349">
      <c r="H349" s="72"/>
    </row>
    <row r="350">
      <c r="H350" s="72"/>
    </row>
    <row r="351">
      <c r="H351" s="72"/>
    </row>
    <row r="352">
      <c r="H352" s="72"/>
    </row>
    <row r="353">
      <c r="H353" s="72"/>
    </row>
    <row r="354">
      <c r="H354" s="72"/>
    </row>
    <row r="355">
      <c r="H355" s="72"/>
    </row>
    <row r="356">
      <c r="H356" s="72"/>
    </row>
    <row r="357">
      <c r="H357" s="72"/>
    </row>
    <row r="358">
      <c r="H358" s="72"/>
    </row>
    <row r="359">
      <c r="H359" s="72"/>
    </row>
    <row r="360">
      <c r="H360" s="72"/>
    </row>
    <row r="361">
      <c r="H361" s="72"/>
    </row>
    <row r="362">
      <c r="H362" s="72"/>
    </row>
    <row r="363">
      <c r="H363" s="72"/>
    </row>
    <row r="364">
      <c r="H364" s="72"/>
    </row>
    <row r="365">
      <c r="H365" s="72"/>
    </row>
    <row r="366">
      <c r="H366" s="72"/>
    </row>
    <row r="367">
      <c r="H367" s="72"/>
    </row>
    <row r="368">
      <c r="H368" s="72"/>
    </row>
    <row r="369">
      <c r="H369" s="72"/>
    </row>
    <row r="370">
      <c r="H370" s="72"/>
    </row>
    <row r="371">
      <c r="H371" s="72"/>
    </row>
    <row r="372">
      <c r="H372" s="72"/>
    </row>
    <row r="373">
      <c r="H373" s="72"/>
    </row>
    <row r="374">
      <c r="H374" s="72"/>
    </row>
    <row r="375">
      <c r="H375" s="72"/>
    </row>
    <row r="376">
      <c r="H376" s="72"/>
    </row>
    <row r="377">
      <c r="H377" s="72"/>
    </row>
    <row r="378">
      <c r="H378" s="72"/>
    </row>
    <row r="379">
      <c r="H379" s="72"/>
    </row>
    <row r="380">
      <c r="H380" s="72"/>
    </row>
    <row r="381">
      <c r="H381" s="72"/>
    </row>
    <row r="382">
      <c r="H382" s="72"/>
    </row>
    <row r="383">
      <c r="H383" s="72"/>
    </row>
    <row r="384">
      <c r="H384" s="72"/>
    </row>
    <row r="385">
      <c r="H385" s="72"/>
    </row>
    <row r="386">
      <c r="H386" s="72"/>
    </row>
    <row r="387">
      <c r="H387" s="72"/>
    </row>
    <row r="388">
      <c r="H388" s="72"/>
    </row>
    <row r="389">
      <c r="H389" s="72"/>
    </row>
    <row r="390">
      <c r="H390" s="72"/>
    </row>
    <row r="391">
      <c r="H391" s="72"/>
    </row>
    <row r="392">
      <c r="H392" s="72"/>
    </row>
    <row r="393">
      <c r="H393" s="72"/>
    </row>
    <row r="394">
      <c r="H394" s="72"/>
    </row>
    <row r="395">
      <c r="H395" s="72"/>
    </row>
    <row r="396">
      <c r="H396" s="72"/>
    </row>
    <row r="397">
      <c r="H397" s="72"/>
    </row>
    <row r="398">
      <c r="H398" s="72"/>
    </row>
    <row r="399">
      <c r="H399" s="72"/>
    </row>
    <row r="400">
      <c r="H400" s="72"/>
    </row>
    <row r="401">
      <c r="H401" s="72"/>
    </row>
    <row r="402">
      <c r="H402" s="72"/>
    </row>
    <row r="403">
      <c r="H403" s="72"/>
    </row>
    <row r="404">
      <c r="H404" s="72"/>
    </row>
    <row r="405">
      <c r="H405" s="72"/>
    </row>
    <row r="406">
      <c r="H406" s="72"/>
    </row>
    <row r="407">
      <c r="H407" s="72"/>
    </row>
    <row r="408">
      <c r="H408" s="72"/>
    </row>
    <row r="409">
      <c r="H409" s="72"/>
    </row>
    <row r="410">
      <c r="H410" s="72"/>
    </row>
    <row r="411">
      <c r="H411" s="72"/>
    </row>
    <row r="412">
      <c r="H412" s="72"/>
    </row>
    <row r="413">
      <c r="H413" s="72"/>
    </row>
    <row r="414">
      <c r="H414" s="72"/>
    </row>
    <row r="415">
      <c r="H415" s="72"/>
    </row>
    <row r="416">
      <c r="H416" s="72"/>
    </row>
    <row r="417">
      <c r="H417" s="72"/>
    </row>
    <row r="418">
      <c r="H418" s="72"/>
    </row>
    <row r="419">
      <c r="H419" s="72"/>
    </row>
    <row r="420">
      <c r="H420" s="72"/>
    </row>
    <row r="421">
      <c r="H421" s="72"/>
    </row>
    <row r="422">
      <c r="H422" s="72"/>
    </row>
    <row r="423">
      <c r="H423" s="72"/>
    </row>
    <row r="424">
      <c r="H424" s="72"/>
    </row>
    <row r="425">
      <c r="H425" s="72"/>
    </row>
    <row r="426">
      <c r="H426" s="72"/>
    </row>
    <row r="427">
      <c r="H427" s="72"/>
    </row>
    <row r="428">
      <c r="H428" s="72"/>
    </row>
    <row r="429">
      <c r="H429" s="72"/>
    </row>
    <row r="430">
      <c r="H430" s="72"/>
    </row>
    <row r="431">
      <c r="H431" s="72"/>
    </row>
    <row r="432">
      <c r="H432" s="72"/>
    </row>
    <row r="433">
      <c r="H433" s="72"/>
    </row>
    <row r="434">
      <c r="H434" s="72"/>
    </row>
    <row r="435">
      <c r="H435" s="72"/>
    </row>
    <row r="436">
      <c r="H436" s="72"/>
    </row>
    <row r="437">
      <c r="H437" s="72"/>
    </row>
    <row r="438">
      <c r="H438" s="72"/>
    </row>
    <row r="439">
      <c r="H439" s="72"/>
    </row>
    <row r="440">
      <c r="H440" s="72"/>
    </row>
    <row r="441">
      <c r="H441" s="72"/>
    </row>
    <row r="442">
      <c r="H442" s="72"/>
    </row>
    <row r="443">
      <c r="H443" s="72"/>
    </row>
    <row r="444">
      <c r="H444" s="72"/>
    </row>
    <row r="445">
      <c r="H445" s="72"/>
    </row>
    <row r="446">
      <c r="H446" s="72"/>
    </row>
    <row r="447">
      <c r="H447" s="72"/>
    </row>
    <row r="448">
      <c r="H448" s="72"/>
    </row>
    <row r="449">
      <c r="H449" s="72"/>
    </row>
    <row r="450">
      <c r="H450" s="72"/>
    </row>
    <row r="451">
      <c r="H451" s="72"/>
    </row>
    <row r="452">
      <c r="H452" s="72"/>
    </row>
    <row r="453">
      <c r="H453" s="72"/>
    </row>
    <row r="454">
      <c r="H454" s="72"/>
    </row>
    <row r="455">
      <c r="H455" s="72"/>
    </row>
    <row r="456">
      <c r="H456" s="72"/>
    </row>
    <row r="457">
      <c r="H457" s="72"/>
    </row>
    <row r="458">
      <c r="H458" s="72"/>
    </row>
    <row r="459">
      <c r="H459" s="72"/>
    </row>
    <row r="460">
      <c r="H460" s="72"/>
    </row>
    <row r="461">
      <c r="H461" s="72"/>
    </row>
    <row r="462">
      <c r="H462" s="72"/>
    </row>
    <row r="463">
      <c r="H463" s="72"/>
    </row>
    <row r="464">
      <c r="H464" s="72"/>
    </row>
    <row r="465">
      <c r="H465" s="72"/>
    </row>
    <row r="466">
      <c r="H466" s="72"/>
    </row>
    <row r="467">
      <c r="H467" s="72"/>
    </row>
    <row r="468">
      <c r="H468" s="72"/>
    </row>
    <row r="469">
      <c r="H469" s="72"/>
    </row>
    <row r="470">
      <c r="H470" s="72"/>
    </row>
    <row r="471">
      <c r="H471" s="72"/>
    </row>
    <row r="472">
      <c r="H472" s="72"/>
    </row>
    <row r="473">
      <c r="H473" s="72"/>
    </row>
    <row r="474">
      <c r="H474" s="72"/>
    </row>
    <row r="475">
      <c r="H475" s="72"/>
    </row>
    <row r="476">
      <c r="H476" s="72"/>
    </row>
    <row r="477">
      <c r="H477" s="72"/>
    </row>
    <row r="478">
      <c r="H478" s="72"/>
    </row>
    <row r="479">
      <c r="H479" s="72"/>
    </row>
    <row r="480">
      <c r="H480" s="72"/>
    </row>
    <row r="481">
      <c r="H481" s="72"/>
    </row>
    <row r="482">
      <c r="H482" s="72"/>
    </row>
    <row r="483">
      <c r="H483" s="72"/>
    </row>
    <row r="484">
      <c r="H484" s="72"/>
    </row>
    <row r="485">
      <c r="H485" s="72"/>
    </row>
    <row r="486">
      <c r="H486" s="72"/>
    </row>
    <row r="487">
      <c r="H487" s="72"/>
    </row>
    <row r="488">
      <c r="H488" s="72"/>
    </row>
    <row r="489">
      <c r="H489" s="72"/>
    </row>
    <row r="490">
      <c r="H490" s="72"/>
    </row>
    <row r="491">
      <c r="H491" s="72"/>
    </row>
    <row r="492">
      <c r="H492" s="72"/>
    </row>
    <row r="493">
      <c r="H493" s="72"/>
    </row>
    <row r="494">
      <c r="H494" s="72"/>
    </row>
    <row r="495">
      <c r="H495" s="72"/>
    </row>
    <row r="496">
      <c r="H496" s="72"/>
    </row>
    <row r="497">
      <c r="H497" s="72"/>
    </row>
    <row r="498">
      <c r="H498" s="72"/>
    </row>
    <row r="499">
      <c r="H499" s="72"/>
    </row>
    <row r="500">
      <c r="H500" s="72"/>
    </row>
    <row r="501">
      <c r="H501" s="72"/>
    </row>
    <row r="502">
      <c r="H502" s="72"/>
    </row>
    <row r="503">
      <c r="H503" s="72"/>
    </row>
    <row r="504">
      <c r="H504" s="72"/>
    </row>
    <row r="505">
      <c r="H505" s="72"/>
    </row>
    <row r="506">
      <c r="H506" s="72"/>
    </row>
    <row r="507">
      <c r="H507" s="72"/>
    </row>
    <row r="508">
      <c r="H508" s="72"/>
    </row>
    <row r="509">
      <c r="H509" s="72"/>
    </row>
    <row r="510">
      <c r="H510" s="72"/>
    </row>
    <row r="511">
      <c r="H511" s="72"/>
    </row>
    <row r="512">
      <c r="H512" s="72"/>
    </row>
    <row r="513">
      <c r="H513" s="72"/>
    </row>
    <row r="514">
      <c r="H514" s="72"/>
    </row>
    <row r="515">
      <c r="H515" s="72"/>
    </row>
    <row r="516">
      <c r="H516" s="72"/>
    </row>
    <row r="517">
      <c r="H517" s="72"/>
    </row>
    <row r="518">
      <c r="H518" s="72"/>
    </row>
    <row r="519">
      <c r="H519" s="72"/>
    </row>
    <row r="520">
      <c r="H520" s="72"/>
    </row>
    <row r="521">
      <c r="H521" s="72"/>
    </row>
    <row r="522">
      <c r="H522" s="72"/>
    </row>
    <row r="523">
      <c r="H523" s="72"/>
    </row>
    <row r="524">
      <c r="H524" s="72"/>
    </row>
    <row r="525">
      <c r="H525" s="72"/>
    </row>
    <row r="526">
      <c r="H526" s="72"/>
    </row>
    <row r="527">
      <c r="H527" s="72"/>
    </row>
    <row r="528">
      <c r="H528" s="72"/>
    </row>
    <row r="529">
      <c r="H529" s="72"/>
    </row>
    <row r="530">
      <c r="H530" s="72"/>
    </row>
    <row r="531">
      <c r="H531" s="72"/>
    </row>
    <row r="532">
      <c r="H532" s="72"/>
    </row>
    <row r="533">
      <c r="H533" s="72"/>
    </row>
    <row r="534">
      <c r="H534" s="72"/>
    </row>
    <row r="535">
      <c r="H535" s="72"/>
    </row>
    <row r="536">
      <c r="H536" s="72"/>
    </row>
    <row r="537">
      <c r="H537" s="72"/>
    </row>
    <row r="538">
      <c r="H538" s="72"/>
    </row>
    <row r="539">
      <c r="H539" s="72"/>
    </row>
    <row r="540">
      <c r="H540" s="72"/>
    </row>
    <row r="541">
      <c r="H541" s="72"/>
    </row>
    <row r="542">
      <c r="H542" s="72"/>
    </row>
    <row r="543">
      <c r="H543" s="72"/>
    </row>
    <row r="544">
      <c r="H544" s="72"/>
    </row>
    <row r="545">
      <c r="H545" s="72"/>
    </row>
    <row r="546">
      <c r="H546" s="72"/>
    </row>
    <row r="547">
      <c r="H547" s="72"/>
    </row>
    <row r="548">
      <c r="H548" s="72"/>
    </row>
    <row r="549">
      <c r="H549" s="72"/>
    </row>
    <row r="550">
      <c r="H550" s="72"/>
    </row>
    <row r="551">
      <c r="H551" s="72"/>
    </row>
    <row r="552">
      <c r="H552" s="72"/>
    </row>
    <row r="553">
      <c r="H553" s="72"/>
    </row>
    <row r="554">
      <c r="H554" s="72"/>
    </row>
    <row r="555">
      <c r="H555" s="72"/>
    </row>
    <row r="556">
      <c r="H556" s="72"/>
    </row>
    <row r="557">
      <c r="H557" s="72"/>
    </row>
    <row r="558">
      <c r="H558" s="72"/>
    </row>
    <row r="559">
      <c r="H559" s="72"/>
    </row>
    <row r="560">
      <c r="H560" s="72"/>
    </row>
    <row r="561">
      <c r="H561" s="72"/>
    </row>
    <row r="562">
      <c r="H562" s="72"/>
    </row>
    <row r="563">
      <c r="H563" s="72"/>
    </row>
    <row r="564">
      <c r="H564" s="72"/>
    </row>
    <row r="565">
      <c r="H565" s="72"/>
    </row>
    <row r="566">
      <c r="H566" s="72"/>
    </row>
    <row r="567">
      <c r="H567" s="72"/>
    </row>
    <row r="568">
      <c r="H568" s="72"/>
    </row>
    <row r="569">
      <c r="H569" s="72"/>
    </row>
    <row r="570">
      <c r="H570" s="72"/>
    </row>
    <row r="571">
      <c r="H571" s="72"/>
    </row>
    <row r="572">
      <c r="H572" s="72"/>
    </row>
    <row r="573">
      <c r="H573" s="72"/>
    </row>
    <row r="574">
      <c r="H574" s="72"/>
    </row>
    <row r="575">
      <c r="H575" s="72"/>
    </row>
    <row r="576">
      <c r="H576" s="72"/>
    </row>
    <row r="577">
      <c r="H577" s="72"/>
    </row>
    <row r="578">
      <c r="H578" s="72"/>
    </row>
    <row r="579">
      <c r="H579" s="72"/>
    </row>
    <row r="580">
      <c r="H580" s="72"/>
    </row>
    <row r="581">
      <c r="H581" s="72"/>
    </row>
    <row r="582">
      <c r="H582" s="72"/>
    </row>
    <row r="583">
      <c r="H583" s="72"/>
    </row>
    <row r="584">
      <c r="H584" s="72"/>
    </row>
    <row r="585">
      <c r="H585" s="72"/>
    </row>
    <row r="586">
      <c r="H586" s="72"/>
    </row>
    <row r="587">
      <c r="H587" s="72"/>
    </row>
    <row r="588">
      <c r="H588" s="72"/>
    </row>
    <row r="589">
      <c r="H589" s="72"/>
    </row>
    <row r="590">
      <c r="H590" s="72"/>
    </row>
    <row r="591">
      <c r="H591" s="72"/>
    </row>
    <row r="592">
      <c r="H592" s="72"/>
    </row>
    <row r="593">
      <c r="H593" s="72"/>
    </row>
    <row r="594">
      <c r="H594" s="72"/>
    </row>
    <row r="595">
      <c r="H595" s="72"/>
    </row>
    <row r="596">
      <c r="H596" s="72"/>
    </row>
    <row r="597">
      <c r="H597" s="72"/>
    </row>
    <row r="598">
      <c r="H598" s="72"/>
    </row>
    <row r="599">
      <c r="H599" s="72"/>
    </row>
    <row r="600">
      <c r="H600" s="72"/>
    </row>
    <row r="601">
      <c r="H601" s="72"/>
    </row>
    <row r="602">
      <c r="H602" s="72"/>
    </row>
    <row r="603">
      <c r="H603" s="72"/>
    </row>
    <row r="604">
      <c r="H604" s="72"/>
    </row>
    <row r="605">
      <c r="H605" s="72"/>
    </row>
    <row r="606">
      <c r="H606" s="72"/>
    </row>
    <row r="607">
      <c r="H607" s="72"/>
    </row>
    <row r="608">
      <c r="H608" s="72"/>
    </row>
    <row r="609">
      <c r="H609" s="72"/>
    </row>
    <row r="610">
      <c r="H610" s="72"/>
    </row>
    <row r="611">
      <c r="H611" s="72"/>
    </row>
    <row r="612">
      <c r="H612" s="72"/>
    </row>
    <row r="613">
      <c r="H613" s="72"/>
    </row>
    <row r="614">
      <c r="H614" s="72"/>
    </row>
    <row r="615">
      <c r="H615" s="72"/>
    </row>
    <row r="616">
      <c r="H616" s="72"/>
    </row>
    <row r="617">
      <c r="H617" s="72"/>
    </row>
    <row r="618">
      <c r="H618" s="72"/>
    </row>
    <row r="619">
      <c r="H619" s="72"/>
    </row>
    <row r="620">
      <c r="H620" s="72"/>
    </row>
    <row r="621">
      <c r="H621" s="72"/>
    </row>
    <row r="622">
      <c r="H622" s="72"/>
    </row>
    <row r="623">
      <c r="H623" s="72"/>
    </row>
    <row r="624">
      <c r="H624" s="72"/>
    </row>
    <row r="625">
      <c r="H625" s="72"/>
    </row>
    <row r="626">
      <c r="H626" s="72"/>
    </row>
    <row r="627">
      <c r="H627" s="72"/>
    </row>
    <row r="628">
      <c r="H628" s="72"/>
    </row>
    <row r="629">
      <c r="H629" s="72"/>
    </row>
    <row r="630">
      <c r="H630" s="72"/>
    </row>
    <row r="631">
      <c r="H631" s="72"/>
    </row>
    <row r="632">
      <c r="H632" s="72"/>
    </row>
    <row r="633">
      <c r="H633" s="72"/>
    </row>
    <row r="634">
      <c r="H634" s="72"/>
    </row>
    <row r="635">
      <c r="H635" s="72"/>
    </row>
    <row r="636">
      <c r="H636" s="72"/>
    </row>
    <row r="637">
      <c r="H637" s="72"/>
    </row>
    <row r="638">
      <c r="H638" s="72"/>
    </row>
    <row r="639">
      <c r="H639" s="72"/>
    </row>
    <row r="640">
      <c r="H640" s="72"/>
    </row>
    <row r="641">
      <c r="H641" s="72"/>
    </row>
    <row r="642">
      <c r="H642" s="72"/>
    </row>
    <row r="643">
      <c r="H643" s="72"/>
    </row>
    <row r="644">
      <c r="H644" s="72"/>
    </row>
    <row r="645">
      <c r="H645" s="72"/>
    </row>
    <row r="646">
      <c r="H646" s="72"/>
    </row>
    <row r="647">
      <c r="H647" s="72"/>
    </row>
    <row r="648">
      <c r="H648" s="72"/>
    </row>
    <row r="649">
      <c r="H649" s="72"/>
    </row>
    <row r="650">
      <c r="H650" s="72"/>
    </row>
    <row r="651">
      <c r="H651" s="72"/>
    </row>
    <row r="652">
      <c r="H652" s="72"/>
    </row>
    <row r="653">
      <c r="H653" s="72"/>
    </row>
    <row r="654">
      <c r="H654" s="72"/>
    </row>
    <row r="655">
      <c r="H655" s="72"/>
    </row>
    <row r="656">
      <c r="H656" s="72"/>
    </row>
    <row r="657">
      <c r="H657" s="72"/>
    </row>
    <row r="658">
      <c r="H658" s="72"/>
    </row>
    <row r="659">
      <c r="H659" s="72"/>
    </row>
    <row r="660">
      <c r="H660" s="72"/>
    </row>
    <row r="661">
      <c r="H661" s="72"/>
    </row>
    <row r="662">
      <c r="H662" s="72"/>
    </row>
    <row r="663">
      <c r="H663" s="72"/>
    </row>
    <row r="664">
      <c r="H664" s="72"/>
    </row>
    <row r="665">
      <c r="H665" s="72"/>
    </row>
    <row r="666">
      <c r="H666" s="72"/>
    </row>
    <row r="667">
      <c r="H667" s="72"/>
    </row>
    <row r="668">
      <c r="H668" s="72"/>
    </row>
    <row r="669">
      <c r="H669" s="72"/>
    </row>
    <row r="670">
      <c r="H670" s="72"/>
    </row>
    <row r="671">
      <c r="H671" s="72"/>
    </row>
    <row r="672">
      <c r="H672" s="72"/>
    </row>
    <row r="673">
      <c r="H673" s="72"/>
    </row>
    <row r="674">
      <c r="H674" s="72"/>
    </row>
    <row r="675">
      <c r="H675" s="72"/>
    </row>
    <row r="676">
      <c r="H676" s="72"/>
    </row>
    <row r="677">
      <c r="H677" s="72"/>
    </row>
    <row r="678">
      <c r="H678" s="72"/>
    </row>
    <row r="679">
      <c r="H679" s="72"/>
    </row>
    <row r="680">
      <c r="H680" s="72"/>
    </row>
    <row r="681">
      <c r="H681" s="72"/>
    </row>
    <row r="682">
      <c r="H682" s="72"/>
    </row>
    <row r="683">
      <c r="H683" s="72"/>
    </row>
    <row r="684">
      <c r="H684" s="72"/>
    </row>
    <row r="685">
      <c r="H685" s="72"/>
    </row>
    <row r="686">
      <c r="H686" s="72"/>
    </row>
    <row r="687">
      <c r="H687" s="72"/>
    </row>
    <row r="688">
      <c r="H688" s="72"/>
    </row>
    <row r="689">
      <c r="H689" s="72"/>
    </row>
    <row r="690">
      <c r="H690" s="72"/>
    </row>
    <row r="691">
      <c r="H691" s="72"/>
    </row>
    <row r="692">
      <c r="H692" s="72"/>
    </row>
    <row r="693">
      <c r="H693" s="72"/>
    </row>
    <row r="694">
      <c r="H694" s="72"/>
    </row>
    <row r="695">
      <c r="H695" s="72"/>
    </row>
    <row r="696">
      <c r="H696" s="72"/>
    </row>
    <row r="697">
      <c r="H697" s="72"/>
    </row>
    <row r="698">
      <c r="H698" s="72"/>
    </row>
    <row r="699">
      <c r="H699" s="72"/>
    </row>
    <row r="700">
      <c r="H700" s="72"/>
    </row>
    <row r="701">
      <c r="H701" s="72"/>
    </row>
    <row r="702">
      <c r="H702" s="72"/>
    </row>
    <row r="703">
      <c r="H703" s="72"/>
    </row>
    <row r="704">
      <c r="H704" s="72"/>
    </row>
    <row r="705">
      <c r="H705" s="72"/>
    </row>
    <row r="706">
      <c r="H706" s="72"/>
    </row>
    <row r="707">
      <c r="H707" s="72"/>
    </row>
    <row r="708">
      <c r="H708" s="72"/>
    </row>
    <row r="709">
      <c r="H709" s="72"/>
    </row>
    <row r="710">
      <c r="H710" s="72"/>
    </row>
    <row r="711">
      <c r="H711" s="72"/>
    </row>
    <row r="712">
      <c r="H712" s="72"/>
    </row>
    <row r="713">
      <c r="H713" s="72"/>
    </row>
    <row r="714">
      <c r="H714" s="72"/>
    </row>
    <row r="715">
      <c r="H715" s="72"/>
    </row>
    <row r="716">
      <c r="H716" s="72"/>
    </row>
    <row r="717">
      <c r="H717" s="72"/>
    </row>
    <row r="718">
      <c r="H718" s="72"/>
    </row>
    <row r="719">
      <c r="H719" s="72"/>
    </row>
    <row r="720">
      <c r="H720" s="72"/>
    </row>
    <row r="721">
      <c r="H721" s="72"/>
    </row>
    <row r="722">
      <c r="H722" s="72"/>
    </row>
    <row r="723">
      <c r="H723" s="72"/>
    </row>
    <row r="724">
      <c r="H724" s="72"/>
    </row>
    <row r="725">
      <c r="H725" s="72"/>
    </row>
    <row r="726">
      <c r="H726" s="72"/>
    </row>
    <row r="727">
      <c r="H727" s="72"/>
    </row>
    <row r="728">
      <c r="H728" s="72"/>
    </row>
    <row r="729">
      <c r="H729" s="72"/>
    </row>
    <row r="730">
      <c r="H730" s="72"/>
    </row>
    <row r="731">
      <c r="H731" s="72"/>
    </row>
    <row r="732">
      <c r="H732" s="72"/>
    </row>
    <row r="733">
      <c r="H733" s="72"/>
    </row>
    <row r="734">
      <c r="H734" s="72"/>
    </row>
    <row r="735">
      <c r="H735" s="72"/>
    </row>
    <row r="736">
      <c r="H736" s="72"/>
    </row>
    <row r="737">
      <c r="H737" s="72"/>
    </row>
    <row r="738">
      <c r="H738" s="72"/>
    </row>
    <row r="739">
      <c r="H739" s="72"/>
    </row>
    <row r="740">
      <c r="H740" s="72"/>
    </row>
    <row r="741">
      <c r="H741" s="72"/>
    </row>
    <row r="742">
      <c r="H742" s="72"/>
    </row>
    <row r="743">
      <c r="H743" s="72"/>
    </row>
    <row r="744">
      <c r="H744" s="72"/>
    </row>
    <row r="745">
      <c r="H745" s="72"/>
    </row>
    <row r="746">
      <c r="H746" s="72"/>
    </row>
    <row r="747">
      <c r="H747" s="72"/>
    </row>
    <row r="748">
      <c r="H748" s="72"/>
    </row>
    <row r="749">
      <c r="H749" s="72"/>
    </row>
    <row r="750">
      <c r="H750" s="72"/>
    </row>
    <row r="751">
      <c r="H751" s="72"/>
    </row>
    <row r="752">
      <c r="H752" s="72"/>
    </row>
    <row r="753">
      <c r="H753" s="72"/>
    </row>
    <row r="754">
      <c r="H754" s="72"/>
    </row>
    <row r="755">
      <c r="H755" s="72"/>
    </row>
    <row r="756">
      <c r="H756" s="72"/>
    </row>
    <row r="757">
      <c r="H757" s="72"/>
    </row>
    <row r="758">
      <c r="H758" s="72"/>
    </row>
    <row r="759">
      <c r="H759" s="72"/>
    </row>
    <row r="760">
      <c r="H760" s="72"/>
    </row>
    <row r="761">
      <c r="H761" s="72"/>
    </row>
    <row r="762">
      <c r="H762" s="72"/>
    </row>
    <row r="763">
      <c r="H763" s="72"/>
    </row>
    <row r="764">
      <c r="H764" s="72"/>
    </row>
    <row r="765">
      <c r="H765" s="72"/>
    </row>
    <row r="766">
      <c r="H766" s="72"/>
    </row>
    <row r="767">
      <c r="H767" s="72"/>
    </row>
    <row r="768">
      <c r="H768" s="72"/>
    </row>
    <row r="769">
      <c r="H769" s="72"/>
    </row>
    <row r="770">
      <c r="H770" s="72"/>
    </row>
    <row r="771">
      <c r="H771" s="72"/>
    </row>
    <row r="772">
      <c r="H772" s="72"/>
    </row>
    <row r="773">
      <c r="H773" s="72"/>
    </row>
    <row r="774">
      <c r="H774" s="72"/>
    </row>
    <row r="775">
      <c r="H775" s="72"/>
    </row>
    <row r="776">
      <c r="H776" s="72"/>
    </row>
    <row r="777">
      <c r="H777" s="72"/>
    </row>
    <row r="778">
      <c r="H778" s="72"/>
    </row>
    <row r="779">
      <c r="H779" s="72"/>
    </row>
    <row r="780">
      <c r="H780" s="72"/>
    </row>
    <row r="781">
      <c r="H781" s="72"/>
    </row>
    <row r="782">
      <c r="H782" s="72"/>
    </row>
    <row r="783">
      <c r="H783" s="72"/>
    </row>
    <row r="784">
      <c r="H784" s="72"/>
    </row>
    <row r="785">
      <c r="H785" s="72"/>
    </row>
    <row r="786">
      <c r="H786" s="72"/>
    </row>
    <row r="787">
      <c r="H787" s="72"/>
    </row>
    <row r="788">
      <c r="H788" s="72"/>
    </row>
    <row r="789">
      <c r="H789" s="72"/>
    </row>
    <row r="790">
      <c r="H790" s="72"/>
    </row>
    <row r="791">
      <c r="H791" s="72"/>
    </row>
    <row r="792">
      <c r="H792" s="72"/>
    </row>
    <row r="793">
      <c r="H793" s="72"/>
    </row>
    <row r="794">
      <c r="H794" s="72"/>
    </row>
    <row r="795">
      <c r="H795" s="72"/>
    </row>
    <row r="796">
      <c r="H796" s="72"/>
    </row>
    <row r="797">
      <c r="H797" s="72"/>
    </row>
    <row r="798">
      <c r="H798" s="72"/>
    </row>
    <row r="799">
      <c r="H799" s="72"/>
    </row>
    <row r="800">
      <c r="H800" s="72"/>
    </row>
    <row r="801">
      <c r="H801" s="72"/>
    </row>
    <row r="802">
      <c r="H802" s="72"/>
    </row>
    <row r="803">
      <c r="H803" s="72"/>
    </row>
    <row r="804">
      <c r="H804" s="72"/>
    </row>
    <row r="805">
      <c r="H805" s="72"/>
    </row>
    <row r="806">
      <c r="H806" s="72"/>
    </row>
    <row r="807">
      <c r="H807" s="72"/>
    </row>
    <row r="808">
      <c r="H808" s="72"/>
    </row>
    <row r="809">
      <c r="H809" s="72"/>
    </row>
    <row r="810">
      <c r="H810" s="72"/>
    </row>
    <row r="811">
      <c r="H811" s="72"/>
    </row>
    <row r="812">
      <c r="H812" s="72"/>
    </row>
    <row r="813">
      <c r="H813" s="72"/>
    </row>
    <row r="814">
      <c r="H814" s="72"/>
    </row>
    <row r="815">
      <c r="H815" s="72"/>
    </row>
    <row r="816">
      <c r="H816" s="72"/>
    </row>
    <row r="817">
      <c r="H817" s="72"/>
    </row>
    <row r="818">
      <c r="H818" s="72"/>
    </row>
    <row r="819">
      <c r="H819" s="72"/>
    </row>
    <row r="820">
      <c r="H820" s="72"/>
    </row>
    <row r="821">
      <c r="H821" s="72"/>
    </row>
    <row r="822">
      <c r="H822" s="72"/>
    </row>
    <row r="823">
      <c r="H823" s="72"/>
    </row>
    <row r="824">
      <c r="H824" s="72"/>
    </row>
    <row r="825">
      <c r="H825" s="72"/>
    </row>
    <row r="826">
      <c r="H826" s="72"/>
    </row>
    <row r="827">
      <c r="H827" s="72"/>
    </row>
    <row r="828">
      <c r="H828" s="72"/>
    </row>
    <row r="829">
      <c r="H829" s="72"/>
    </row>
    <row r="830">
      <c r="H830" s="72"/>
    </row>
    <row r="831">
      <c r="H831" s="72"/>
    </row>
    <row r="832">
      <c r="H832" s="72"/>
    </row>
    <row r="833">
      <c r="H833" s="72"/>
    </row>
    <row r="834">
      <c r="H834" s="72"/>
    </row>
    <row r="835">
      <c r="H835" s="72"/>
    </row>
    <row r="836">
      <c r="H836" s="72"/>
    </row>
    <row r="837">
      <c r="H837" s="72"/>
    </row>
    <row r="838">
      <c r="H838" s="72"/>
    </row>
    <row r="839">
      <c r="H839" s="72"/>
    </row>
    <row r="840">
      <c r="H840" s="72"/>
    </row>
    <row r="841">
      <c r="H841" s="72"/>
    </row>
    <row r="842">
      <c r="H842" s="72"/>
    </row>
    <row r="843">
      <c r="H843" s="72"/>
    </row>
    <row r="844">
      <c r="H844" s="72"/>
    </row>
    <row r="845">
      <c r="H845" s="72"/>
    </row>
    <row r="846">
      <c r="H846" s="72"/>
    </row>
    <row r="847">
      <c r="H847" s="72"/>
    </row>
    <row r="848">
      <c r="H848" s="72"/>
    </row>
    <row r="849">
      <c r="H849" s="72"/>
    </row>
    <row r="850">
      <c r="H850" s="72"/>
    </row>
    <row r="851">
      <c r="H851" s="72"/>
    </row>
    <row r="852">
      <c r="H852" s="72"/>
    </row>
    <row r="853">
      <c r="H853" s="72"/>
    </row>
    <row r="854">
      <c r="H854" s="72"/>
    </row>
    <row r="855">
      <c r="H855" s="72"/>
    </row>
    <row r="856">
      <c r="H856" s="72"/>
    </row>
    <row r="857">
      <c r="H857" s="72"/>
    </row>
    <row r="858">
      <c r="H858" s="72"/>
    </row>
    <row r="859">
      <c r="H859" s="72"/>
    </row>
    <row r="860">
      <c r="H860" s="72"/>
    </row>
    <row r="861">
      <c r="H861" s="72"/>
    </row>
    <row r="862">
      <c r="H862" s="72"/>
    </row>
    <row r="863">
      <c r="H863" s="72"/>
    </row>
    <row r="864">
      <c r="H864" s="72"/>
    </row>
    <row r="865">
      <c r="H865" s="72"/>
    </row>
    <row r="866">
      <c r="H866" s="72"/>
    </row>
    <row r="867">
      <c r="H867" s="72"/>
    </row>
    <row r="868">
      <c r="H868" s="72"/>
    </row>
    <row r="869">
      <c r="H869" s="72"/>
    </row>
    <row r="870">
      <c r="H870" s="72"/>
    </row>
    <row r="871">
      <c r="H871" s="72"/>
    </row>
    <row r="872">
      <c r="H872" s="72"/>
    </row>
    <row r="873">
      <c r="H873" s="72"/>
    </row>
    <row r="874">
      <c r="H874" s="72"/>
    </row>
    <row r="875">
      <c r="H875" s="72"/>
    </row>
    <row r="876">
      <c r="H876" s="72"/>
    </row>
    <row r="877">
      <c r="H877" s="72"/>
    </row>
    <row r="878">
      <c r="H878" s="72"/>
    </row>
    <row r="879">
      <c r="H879" s="72"/>
    </row>
    <row r="880">
      <c r="H880" s="72"/>
    </row>
    <row r="881">
      <c r="H881" s="72"/>
    </row>
    <row r="882">
      <c r="H882" s="72"/>
    </row>
    <row r="883">
      <c r="H883" s="72"/>
    </row>
    <row r="884">
      <c r="H884" s="72"/>
    </row>
    <row r="885">
      <c r="H885" s="72"/>
    </row>
    <row r="886">
      <c r="H886" s="72"/>
    </row>
    <row r="887">
      <c r="H887" s="72"/>
    </row>
    <row r="888">
      <c r="H888" s="72"/>
    </row>
    <row r="889">
      <c r="H889" s="72"/>
    </row>
    <row r="890">
      <c r="H890" s="72"/>
    </row>
    <row r="891">
      <c r="H891" s="72"/>
    </row>
    <row r="892">
      <c r="H892" s="72"/>
    </row>
    <row r="893">
      <c r="H893" s="72"/>
    </row>
    <row r="894">
      <c r="H894" s="72"/>
    </row>
    <row r="895">
      <c r="H895" s="72"/>
    </row>
    <row r="896">
      <c r="H896" s="72"/>
    </row>
    <row r="897">
      <c r="H897" s="72"/>
    </row>
    <row r="898">
      <c r="H898" s="72"/>
    </row>
    <row r="899">
      <c r="H899" s="72"/>
    </row>
    <row r="900">
      <c r="H900" s="72"/>
    </row>
    <row r="901">
      <c r="H901" s="72"/>
    </row>
    <row r="902">
      <c r="H902" s="72"/>
    </row>
    <row r="903">
      <c r="H903" s="72"/>
    </row>
    <row r="904">
      <c r="H904" s="72"/>
    </row>
    <row r="905">
      <c r="H905" s="72"/>
    </row>
    <row r="906">
      <c r="H906" s="72"/>
    </row>
    <row r="907">
      <c r="H907" s="72"/>
    </row>
    <row r="908">
      <c r="H908" s="72"/>
    </row>
    <row r="909">
      <c r="H909" s="72"/>
    </row>
    <row r="910">
      <c r="H910" s="72"/>
    </row>
    <row r="911">
      <c r="H911" s="72"/>
    </row>
    <row r="912">
      <c r="H912" s="72"/>
    </row>
    <row r="913">
      <c r="H913" s="72"/>
    </row>
    <row r="914">
      <c r="H914" s="72"/>
    </row>
    <row r="915">
      <c r="H915" s="72"/>
    </row>
    <row r="916">
      <c r="H916" s="72"/>
    </row>
    <row r="917">
      <c r="H917" s="72"/>
    </row>
    <row r="918">
      <c r="H918" s="72"/>
    </row>
    <row r="919">
      <c r="H919" s="72"/>
    </row>
    <row r="920">
      <c r="H920" s="72"/>
    </row>
    <row r="921">
      <c r="H921" s="72"/>
    </row>
    <row r="922">
      <c r="H922" s="72"/>
    </row>
    <row r="923">
      <c r="H923" s="72"/>
    </row>
    <row r="924">
      <c r="H924" s="72"/>
    </row>
    <row r="925">
      <c r="H925" s="72"/>
    </row>
    <row r="926">
      <c r="H926" s="72"/>
    </row>
    <row r="927">
      <c r="H927" s="72"/>
    </row>
    <row r="928">
      <c r="H928" s="72"/>
    </row>
    <row r="929">
      <c r="H929" s="72"/>
    </row>
    <row r="930">
      <c r="H930" s="72"/>
    </row>
    <row r="931">
      <c r="H931" s="72"/>
    </row>
    <row r="932">
      <c r="H932" s="72"/>
    </row>
    <row r="933">
      <c r="H933" s="72"/>
    </row>
    <row r="934">
      <c r="H934" s="72"/>
    </row>
    <row r="935">
      <c r="H935" s="72"/>
    </row>
    <row r="936">
      <c r="H936" s="72"/>
    </row>
    <row r="937">
      <c r="H937" s="72"/>
    </row>
    <row r="938">
      <c r="H938" s="72"/>
    </row>
    <row r="939">
      <c r="H939" s="72"/>
    </row>
    <row r="940">
      <c r="H940" s="72"/>
    </row>
    <row r="941">
      <c r="H941" s="72"/>
    </row>
    <row r="942">
      <c r="H942" s="72"/>
    </row>
    <row r="943">
      <c r="H943" s="72"/>
    </row>
    <row r="944">
      <c r="H944" s="72"/>
    </row>
    <row r="945">
      <c r="H945" s="72"/>
    </row>
    <row r="946">
      <c r="H946" s="72"/>
    </row>
    <row r="947">
      <c r="H947" s="72"/>
    </row>
    <row r="948">
      <c r="H948" s="72"/>
    </row>
    <row r="949">
      <c r="H949" s="72"/>
    </row>
    <row r="950">
      <c r="H950" s="72"/>
    </row>
    <row r="951">
      <c r="H951" s="72"/>
    </row>
    <row r="952">
      <c r="H952" s="72"/>
    </row>
    <row r="953">
      <c r="H953" s="72"/>
    </row>
    <row r="954">
      <c r="H954" s="72"/>
    </row>
    <row r="955">
      <c r="H955" s="72"/>
    </row>
    <row r="956">
      <c r="H956" s="72"/>
    </row>
    <row r="957">
      <c r="H957" s="72"/>
    </row>
    <row r="958">
      <c r="H958" s="72"/>
    </row>
    <row r="959">
      <c r="H959" s="72"/>
    </row>
    <row r="960">
      <c r="H960" s="72"/>
    </row>
    <row r="961">
      <c r="H961" s="72"/>
    </row>
    <row r="962">
      <c r="H962" s="72"/>
    </row>
    <row r="963">
      <c r="H963" s="72"/>
    </row>
    <row r="964">
      <c r="H964" s="72"/>
    </row>
    <row r="965">
      <c r="H965" s="72"/>
    </row>
    <row r="966">
      <c r="H966" s="72"/>
    </row>
    <row r="967">
      <c r="H967" s="72"/>
    </row>
    <row r="968">
      <c r="H968" s="72"/>
    </row>
    <row r="969">
      <c r="H969" s="72"/>
    </row>
    <row r="970">
      <c r="H970" s="72"/>
    </row>
    <row r="971">
      <c r="H971" s="72"/>
    </row>
    <row r="972">
      <c r="H972" s="72"/>
    </row>
    <row r="973">
      <c r="H973" s="72"/>
    </row>
    <row r="974">
      <c r="H974" s="72"/>
    </row>
    <row r="975">
      <c r="H975" s="72"/>
    </row>
    <row r="976">
      <c r="H976" s="72"/>
    </row>
    <row r="977">
      <c r="H977" s="72"/>
    </row>
    <row r="978">
      <c r="H978" s="72"/>
    </row>
    <row r="979">
      <c r="H979" s="72"/>
    </row>
    <row r="980">
      <c r="H980" s="72"/>
    </row>
    <row r="981">
      <c r="H981" s="72"/>
    </row>
    <row r="982">
      <c r="H982" s="72"/>
    </row>
    <row r="983">
      <c r="H983" s="72"/>
    </row>
    <row r="984">
      <c r="H984" s="72"/>
    </row>
    <row r="985">
      <c r="H985" s="72"/>
    </row>
    <row r="986">
      <c r="H986" s="72"/>
    </row>
    <row r="987">
      <c r="H987" s="72"/>
    </row>
    <row r="988">
      <c r="H988" s="72"/>
    </row>
    <row r="989">
      <c r="H989" s="72"/>
    </row>
    <row r="990">
      <c r="H990" s="72"/>
    </row>
    <row r="991">
      <c r="H991" s="72"/>
    </row>
    <row r="992">
      <c r="H992" s="72"/>
    </row>
    <row r="993">
      <c r="H993" s="72"/>
    </row>
    <row r="994">
      <c r="H994" s="72"/>
    </row>
    <row r="995">
      <c r="H995" s="72"/>
    </row>
    <row r="996">
      <c r="H996" s="72"/>
    </row>
    <row r="997">
      <c r="H997" s="72"/>
    </row>
    <row r="998">
      <c r="H998" s="72"/>
    </row>
    <row r="999">
      <c r="H999" s="72"/>
    </row>
    <row r="1000">
      <c r="H1000" s="72"/>
    </row>
    <row r="1001">
      <c r="H1001" s="7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2" max="2" width="68.38"/>
    <col customWidth="1" min="4" max="4" width="25.0"/>
    <col customWidth="1" min="5" max="5" width="44.25"/>
    <col customWidth="1" min="7" max="7" width="20.5"/>
    <col customWidth="1" min="8" max="8" width="17.25"/>
  </cols>
  <sheetData>
    <row r="1">
      <c r="A1" s="69"/>
      <c r="B1" s="84" t="s">
        <v>110</v>
      </c>
      <c r="C1" s="69"/>
      <c r="D1" s="69"/>
      <c r="E1" s="69" t="s">
        <v>111</v>
      </c>
      <c r="F1" s="69"/>
      <c r="G1" s="69"/>
      <c r="H1" s="69"/>
      <c r="I1" s="69"/>
    </row>
    <row r="2">
      <c r="A2" s="69" t="s">
        <v>112</v>
      </c>
      <c r="B2" s="84" t="s">
        <v>113</v>
      </c>
      <c r="C2" s="69" t="s">
        <v>114</v>
      </c>
      <c r="D2" s="69" t="s">
        <v>115</v>
      </c>
      <c r="E2" s="69" t="s">
        <v>116</v>
      </c>
      <c r="F2" s="69" t="s">
        <v>117</v>
      </c>
      <c r="G2" s="69" t="s">
        <v>118</v>
      </c>
      <c r="H2" s="69" t="s">
        <v>119</v>
      </c>
      <c r="I2" s="69" t="s">
        <v>120</v>
      </c>
    </row>
    <row r="3">
      <c r="A3" s="54" t="s">
        <v>235</v>
      </c>
      <c r="B3" s="73" t="s">
        <v>236</v>
      </c>
      <c r="C3" s="54" t="s">
        <v>156</v>
      </c>
    </row>
    <row r="4">
      <c r="B4" s="73" t="s">
        <v>237</v>
      </c>
      <c r="D4" s="54" t="s">
        <v>238</v>
      </c>
      <c r="E4" s="54" t="s">
        <v>239</v>
      </c>
      <c r="F4" s="54" t="s">
        <v>128</v>
      </c>
      <c r="G4" s="54" t="s">
        <v>240</v>
      </c>
    </row>
    <row r="5">
      <c r="B5" s="73" t="s">
        <v>241</v>
      </c>
      <c r="D5" s="54" t="s">
        <v>238</v>
      </c>
      <c r="E5" s="54" t="s">
        <v>242</v>
      </c>
      <c r="F5" s="54" t="s">
        <v>128</v>
      </c>
      <c r="G5" s="54" t="s">
        <v>133</v>
      </c>
      <c r="H5" s="54" t="s">
        <v>243</v>
      </c>
    </row>
    <row r="6">
      <c r="B6" s="73" t="s">
        <v>244</v>
      </c>
      <c r="D6" s="54" t="s">
        <v>245</v>
      </c>
      <c r="E6" s="54" t="s">
        <v>246</v>
      </c>
      <c r="F6" s="54" t="s">
        <v>128</v>
      </c>
      <c r="G6" s="54" t="s">
        <v>133</v>
      </c>
      <c r="H6" s="42" t="s">
        <v>247</v>
      </c>
    </row>
    <row r="7">
      <c r="B7" s="73" t="s">
        <v>248</v>
      </c>
      <c r="D7" s="54" t="s">
        <v>238</v>
      </c>
      <c r="E7" s="54" t="s">
        <v>249</v>
      </c>
      <c r="F7" s="54" t="s">
        <v>124</v>
      </c>
      <c r="G7" s="54" t="s">
        <v>133</v>
      </c>
    </row>
    <row r="8">
      <c r="B8" s="73" t="s">
        <v>250</v>
      </c>
      <c r="D8" s="54" t="s">
        <v>251</v>
      </c>
      <c r="E8" s="54" t="s">
        <v>252</v>
      </c>
      <c r="F8" s="54" t="s">
        <v>128</v>
      </c>
      <c r="G8" s="54" t="s">
        <v>240</v>
      </c>
    </row>
    <row r="9">
      <c r="B9" s="73" t="s">
        <v>253</v>
      </c>
      <c r="D9" s="54" t="s">
        <v>254</v>
      </c>
      <c r="E9" s="54" t="s">
        <v>252</v>
      </c>
      <c r="F9" s="54" t="s">
        <v>128</v>
      </c>
      <c r="G9" s="54" t="s">
        <v>240</v>
      </c>
    </row>
    <row r="10">
      <c r="B10" s="73" t="s">
        <v>255</v>
      </c>
      <c r="D10" s="54" t="s">
        <v>256</v>
      </c>
      <c r="E10" s="54" t="s">
        <v>252</v>
      </c>
      <c r="F10" s="54" t="s">
        <v>124</v>
      </c>
      <c r="G10" s="54" t="s">
        <v>240</v>
      </c>
    </row>
    <row r="11">
      <c r="B11" s="73" t="s">
        <v>257</v>
      </c>
      <c r="D11" s="54" t="s">
        <v>238</v>
      </c>
      <c r="E11" s="54" t="s">
        <v>258</v>
      </c>
      <c r="F11" s="54" t="s">
        <v>128</v>
      </c>
      <c r="G11" s="54" t="s">
        <v>208</v>
      </c>
      <c r="H11" s="54" t="s">
        <v>259</v>
      </c>
      <c r="I11" s="54" t="s">
        <v>260</v>
      </c>
    </row>
    <row r="12">
      <c r="B12" s="73" t="s">
        <v>261</v>
      </c>
      <c r="D12" s="54" t="s">
        <v>238</v>
      </c>
      <c r="E12" s="54" t="s">
        <v>262</v>
      </c>
      <c r="F12" s="54" t="s">
        <v>124</v>
      </c>
      <c r="G12" s="54" t="s">
        <v>263</v>
      </c>
    </row>
    <row r="13">
      <c r="B13" s="73" t="s">
        <v>144</v>
      </c>
      <c r="D13" s="54" t="s">
        <v>238</v>
      </c>
      <c r="E13" s="54" t="s">
        <v>264</v>
      </c>
      <c r="F13" s="54" t="s">
        <v>124</v>
      </c>
      <c r="G13" s="54" t="s">
        <v>167</v>
      </c>
    </row>
    <row r="14">
      <c r="B14" s="73" t="s">
        <v>265</v>
      </c>
      <c r="D14" s="54" t="s">
        <v>238</v>
      </c>
      <c r="E14" s="75" t="s">
        <v>266</v>
      </c>
      <c r="F14" s="54" t="s">
        <v>124</v>
      </c>
      <c r="G14" s="54" t="s">
        <v>267</v>
      </c>
      <c r="H14" s="85">
        <v>46307.0</v>
      </c>
    </row>
    <row r="15">
      <c r="B15" s="73" t="s">
        <v>268</v>
      </c>
      <c r="D15" s="54" t="s">
        <v>238</v>
      </c>
      <c r="E15" s="54" t="s">
        <v>269</v>
      </c>
      <c r="F15" s="54" t="s">
        <v>124</v>
      </c>
      <c r="G15" s="54" t="s">
        <v>167</v>
      </c>
    </row>
    <row r="16">
      <c r="B16" s="73" t="s">
        <v>270</v>
      </c>
      <c r="D16" s="54" t="s">
        <v>238</v>
      </c>
      <c r="E16" s="54" t="s">
        <v>271</v>
      </c>
      <c r="F16" s="54" t="s">
        <v>124</v>
      </c>
      <c r="G16" s="54" t="s">
        <v>272</v>
      </c>
    </row>
    <row r="17">
      <c r="B17" s="73" t="s">
        <v>273</v>
      </c>
      <c r="D17" s="54" t="s">
        <v>238</v>
      </c>
      <c r="E17" s="54" t="s">
        <v>274</v>
      </c>
      <c r="F17" s="54" t="s">
        <v>124</v>
      </c>
      <c r="G17" s="54" t="s">
        <v>275</v>
      </c>
    </row>
    <row r="18">
      <c r="B18" s="73" t="s">
        <v>276</v>
      </c>
      <c r="D18" s="54" t="s">
        <v>238</v>
      </c>
      <c r="E18" s="54" t="s">
        <v>130</v>
      </c>
      <c r="F18" s="54" t="s">
        <v>124</v>
      </c>
      <c r="G18" s="54" t="s">
        <v>167</v>
      </c>
    </row>
    <row r="19">
      <c r="B19" s="73" t="s">
        <v>277</v>
      </c>
      <c r="D19" s="54" t="s">
        <v>238</v>
      </c>
      <c r="E19" s="54" t="s">
        <v>278</v>
      </c>
      <c r="F19" s="54" t="s">
        <v>124</v>
      </c>
      <c r="G19" s="54" t="s">
        <v>279</v>
      </c>
    </row>
    <row r="20">
      <c r="B20" s="73" t="s">
        <v>280</v>
      </c>
      <c r="C20" s="54" t="s">
        <v>156</v>
      </c>
      <c r="F20" s="54" t="s">
        <v>128</v>
      </c>
      <c r="I20" s="54" t="s">
        <v>281</v>
      </c>
    </row>
    <row r="21">
      <c r="B21" s="73" t="s">
        <v>282</v>
      </c>
      <c r="D21" s="54" t="s">
        <v>283</v>
      </c>
      <c r="E21" s="54" t="s">
        <v>284</v>
      </c>
      <c r="F21" s="54" t="s">
        <v>124</v>
      </c>
    </row>
    <row r="22">
      <c r="B22" s="73" t="s">
        <v>285</v>
      </c>
      <c r="D22" s="54" t="s">
        <v>283</v>
      </c>
      <c r="E22" s="54" t="s">
        <v>286</v>
      </c>
      <c r="F22" s="54" t="s">
        <v>128</v>
      </c>
      <c r="G22" s="54" t="s">
        <v>287</v>
      </c>
      <c r="H22" s="54">
        <v>1.0</v>
      </c>
    </row>
    <row r="23">
      <c r="B23" s="73" t="s">
        <v>288</v>
      </c>
      <c r="D23" s="54" t="s">
        <v>283</v>
      </c>
      <c r="E23" s="54" t="s">
        <v>289</v>
      </c>
      <c r="F23" s="54" t="s">
        <v>128</v>
      </c>
      <c r="G23" s="54" t="s">
        <v>290</v>
      </c>
      <c r="H23" s="54" t="s">
        <v>291</v>
      </c>
    </row>
    <row r="24">
      <c r="B24" s="73" t="s">
        <v>292</v>
      </c>
      <c r="D24" s="73" t="s">
        <v>293</v>
      </c>
      <c r="E24" s="54" t="s">
        <v>294</v>
      </c>
      <c r="F24" s="54" t="s">
        <v>128</v>
      </c>
      <c r="G24" s="54" t="s">
        <v>295</v>
      </c>
    </row>
    <row r="25">
      <c r="B25" s="73" t="s">
        <v>296</v>
      </c>
      <c r="D25" s="54" t="s">
        <v>283</v>
      </c>
      <c r="E25" s="54" t="s">
        <v>297</v>
      </c>
      <c r="F25" s="54" t="s">
        <v>124</v>
      </c>
      <c r="G25" s="54" t="s">
        <v>267</v>
      </c>
    </row>
    <row r="26">
      <c r="B26" s="73" t="s">
        <v>298</v>
      </c>
      <c r="D26" s="54" t="s">
        <v>283</v>
      </c>
      <c r="E26" s="75" t="s">
        <v>299</v>
      </c>
      <c r="F26" s="54" t="s">
        <v>124</v>
      </c>
      <c r="G26" s="54" t="s">
        <v>267</v>
      </c>
    </row>
    <row r="27">
      <c r="B27" s="73" t="s">
        <v>300</v>
      </c>
      <c r="D27" s="54" t="s">
        <v>283</v>
      </c>
      <c r="E27" s="54" t="s">
        <v>301</v>
      </c>
      <c r="F27" s="54" t="s">
        <v>124</v>
      </c>
      <c r="G27" s="54" t="s">
        <v>302</v>
      </c>
    </row>
    <row r="28">
      <c r="B28" s="73" t="s">
        <v>303</v>
      </c>
      <c r="D28" s="54" t="s">
        <v>283</v>
      </c>
      <c r="E28" s="54" t="s">
        <v>304</v>
      </c>
      <c r="F28" s="54" t="s">
        <v>124</v>
      </c>
      <c r="G28" s="54" t="s">
        <v>305</v>
      </c>
    </row>
    <row r="29">
      <c r="B29" s="73" t="s">
        <v>306</v>
      </c>
      <c r="D29" s="54" t="s">
        <v>283</v>
      </c>
      <c r="E29" s="54" t="s">
        <v>307</v>
      </c>
      <c r="F29" s="54" t="s">
        <v>124</v>
      </c>
      <c r="G29" s="54" t="s">
        <v>275</v>
      </c>
    </row>
    <row r="30">
      <c r="B30" s="73" t="s">
        <v>308</v>
      </c>
      <c r="D30" s="54" t="s">
        <v>283</v>
      </c>
      <c r="E30" s="54" t="s">
        <v>309</v>
      </c>
      <c r="F30" s="54" t="s">
        <v>124</v>
      </c>
      <c r="G30" s="54" t="s">
        <v>275</v>
      </c>
    </row>
    <row r="31">
      <c r="B31" s="73" t="s">
        <v>310</v>
      </c>
      <c r="D31" s="54" t="s">
        <v>283</v>
      </c>
      <c r="E31" s="54" t="s">
        <v>311</v>
      </c>
      <c r="F31" s="54" t="s">
        <v>124</v>
      </c>
      <c r="G31" s="54" t="s">
        <v>267</v>
      </c>
    </row>
    <row r="32">
      <c r="B32" s="73" t="s">
        <v>312</v>
      </c>
      <c r="D32" s="54" t="s">
        <v>283</v>
      </c>
      <c r="E32" s="54" t="s">
        <v>313</v>
      </c>
      <c r="F32" s="54" t="s">
        <v>124</v>
      </c>
      <c r="G32" s="54" t="s">
        <v>267</v>
      </c>
    </row>
    <row r="33">
      <c r="B33" s="73" t="s">
        <v>314</v>
      </c>
      <c r="D33" s="54" t="s">
        <v>283</v>
      </c>
      <c r="E33" s="54" t="s">
        <v>315</v>
      </c>
      <c r="F33" s="54" t="s">
        <v>128</v>
      </c>
    </row>
    <row r="35">
      <c r="B35" s="86"/>
    </row>
    <row r="36">
      <c r="B36" s="86"/>
    </row>
    <row r="37">
      <c r="B37" s="86"/>
    </row>
    <row r="38">
      <c r="B38" s="86"/>
    </row>
    <row r="39">
      <c r="B39" s="86"/>
    </row>
    <row r="40">
      <c r="B40" s="86"/>
    </row>
    <row r="41">
      <c r="B41" s="86"/>
    </row>
    <row r="42">
      <c r="B42" s="86"/>
    </row>
    <row r="43">
      <c r="B43" s="86"/>
    </row>
    <row r="44">
      <c r="B44" s="86"/>
    </row>
    <row r="45">
      <c r="B45" s="86"/>
    </row>
    <row r="46">
      <c r="B46" s="86"/>
    </row>
    <row r="47">
      <c r="B47" s="86"/>
    </row>
    <row r="48">
      <c r="B48" s="86"/>
    </row>
    <row r="49">
      <c r="B49" s="86"/>
    </row>
    <row r="50">
      <c r="B50" s="86"/>
    </row>
    <row r="51">
      <c r="B51" s="86"/>
    </row>
    <row r="52">
      <c r="B52" s="86"/>
    </row>
    <row r="53">
      <c r="B53" s="86"/>
    </row>
    <row r="54">
      <c r="B54" s="86"/>
    </row>
    <row r="55">
      <c r="B55" s="86"/>
    </row>
    <row r="56">
      <c r="B56" s="86"/>
    </row>
    <row r="57">
      <c r="B57" s="86"/>
    </row>
    <row r="58">
      <c r="B58" s="86"/>
    </row>
    <row r="59">
      <c r="B59" s="86"/>
    </row>
    <row r="60">
      <c r="B60" s="86"/>
    </row>
    <row r="61">
      <c r="B61" s="86"/>
    </row>
    <row r="62">
      <c r="B62" s="86"/>
    </row>
    <row r="63">
      <c r="B63" s="86"/>
    </row>
    <row r="64">
      <c r="B64" s="86"/>
    </row>
    <row r="65">
      <c r="B65" s="86"/>
    </row>
    <row r="66">
      <c r="B66" s="86"/>
    </row>
    <row r="67">
      <c r="B67" s="86"/>
    </row>
    <row r="68">
      <c r="B68" s="86"/>
    </row>
    <row r="69">
      <c r="B69" s="86"/>
    </row>
    <row r="70">
      <c r="B70" s="86"/>
    </row>
    <row r="71">
      <c r="B71" s="86"/>
    </row>
    <row r="72">
      <c r="B72" s="86"/>
    </row>
    <row r="73">
      <c r="B73" s="86"/>
    </row>
    <row r="74">
      <c r="B74" s="86"/>
    </row>
    <row r="75">
      <c r="B75" s="86"/>
    </row>
    <row r="76">
      <c r="B76" s="86"/>
    </row>
    <row r="77">
      <c r="B77" s="86"/>
    </row>
    <row r="78">
      <c r="B78" s="86"/>
    </row>
    <row r="79">
      <c r="B79" s="86"/>
    </row>
    <row r="80">
      <c r="B80" s="86"/>
    </row>
    <row r="81">
      <c r="B81" s="86"/>
    </row>
    <row r="82">
      <c r="B82" s="86"/>
    </row>
    <row r="83">
      <c r="B83" s="86"/>
    </row>
    <row r="84">
      <c r="B84" s="86"/>
    </row>
    <row r="85">
      <c r="B85" s="86"/>
    </row>
    <row r="86">
      <c r="B86" s="86"/>
    </row>
    <row r="87">
      <c r="B87" s="86"/>
    </row>
    <row r="88">
      <c r="B88" s="86"/>
    </row>
    <row r="89">
      <c r="B89" s="86"/>
    </row>
    <row r="90">
      <c r="B90" s="86"/>
    </row>
    <row r="91">
      <c r="B91" s="86"/>
    </row>
    <row r="92">
      <c r="B92" s="86"/>
    </row>
    <row r="93">
      <c r="B93" s="86"/>
    </row>
    <row r="94">
      <c r="B94" s="86"/>
    </row>
    <row r="95">
      <c r="B95" s="86"/>
    </row>
    <row r="96">
      <c r="B96" s="86"/>
    </row>
    <row r="97">
      <c r="B97" s="86"/>
    </row>
    <row r="98">
      <c r="B98" s="86"/>
    </row>
    <row r="99">
      <c r="B99" s="86"/>
    </row>
    <row r="100">
      <c r="B100" s="86"/>
    </row>
    <row r="101">
      <c r="B101" s="86"/>
    </row>
    <row r="102">
      <c r="B102" s="86"/>
    </row>
    <row r="103">
      <c r="B103" s="86"/>
    </row>
    <row r="104">
      <c r="B104" s="86"/>
    </row>
    <row r="105">
      <c r="B105" s="86"/>
    </row>
    <row r="106">
      <c r="B106" s="86"/>
    </row>
    <row r="107">
      <c r="B107" s="86"/>
    </row>
    <row r="108">
      <c r="B108" s="86"/>
    </row>
    <row r="109">
      <c r="B109" s="86"/>
    </row>
    <row r="110">
      <c r="B110" s="86"/>
    </row>
    <row r="111">
      <c r="B111" s="86"/>
    </row>
    <row r="112">
      <c r="B112" s="86"/>
    </row>
    <row r="113">
      <c r="B113" s="86"/>
    </row>
    <row r="114">
      <c r="B114" s="86"/>
    </row>
    <row r="115">
      <c r="B115" s="86"/>
    </row>
    <row r="116">
      <c r="B116" s="86"/>
    </row>
    <row r="117">
      <c r="B117" s="86"/>
    </row>
    <row r="118">
      <c r="B118" s="86"/>
    </row>
    <row r="119">
      <c r="B119" s="86"/>
    </row>
    <row r="120">
      <c r="B120" s="86"/>
    </row>
    <row r="121">
      <c r="B121" s="86"/>
    </row>
    <row r="122">
      <c r="B122" s="86"/>
    </row>
    <row r="123">
      <c r="B123" s="86"/>
    </row>
    <row r="124">
      <c r="B124" s="86"/>
    </row>
    <row r="125">
      <c r="B125" s="86"/>
    </row>
    <row r="126">
      <c r="B126" s="86"/>
    </row>
    <row r="127">
      <c r="B127" s="86"/>
    </row>
    <row r="128">
      <c r="B128" s="86"/>
    </row>
    <row r="129">
      <c r="B129" s="86"/>
    </row>
    <row r="130">
      <c r="B130" s="86"/>
    </row>
    <row r="131">
      <c r="B131" s="86"/>
    </row>
    <row r="132">
      <c r="B132" s="86"/>
    </row>
    <row r="133">
      <c r="B133" s="86"/>
    </row>
    <row r="134">
      <c r="B134" s="86"/>
    </row>
    <row r="135">
      <c r="B135" s="86"/>
    </row>
    <row r="136">
      <c r="B136" s="86"/>
    </row>
    <row r="137">
      <c r="B137" s="86"/>
    </row>
    <row r="138">
      <c r="B138" s="86"/>
    </row>
    <row r="139">
      <c r="B139" s="86"/>
    </row>
    <row r="140">
      <c r="B140" s="86"/>
    </row>
    <row r="141">
      <c r="B141" s="86"/>
    </row>
    <row r="142">
      <c r="B142" s="86"/>
    </row>
    <row r="143">
      <c r="B143" s="86"/>
    </row>
    <row r="144">
      <c r="B144" s="86"/>
    </row>
    <row r="145">
      <c r="B145" s="86"/>
    </row>
    <row r="146">
      <c r="B146" s="86"/>
    </row>
    <row r="147">
      <c r="B147" s="86"/>
    </row>
    <row r="148">
      <c r="B148" s="86"/>
    </row>
    <row r="149">
      <c r="B149" s="86"/>
    </row>
    <row r="150">
      <c r="B150" s="86"/>
    </row>
    <row r="151">
      <c r="B151" s="86"/>
    </row>
    <row r="152">
      <c r="B152" s="86"/>
    </row>
    <row r="153">
      <c r="B153" s="86"/>
    </row>
    <row r="154">
      <c r="B154" s="86"/>
    </row>
    <row r="155">
      <c r="B155" s="86"/>
    </row>
    <row r="156">
      <c r="B156" s="86"/>
    </row>
    <row r="157">
      <c r="B157" s="86"/>
    </row>
    <row r="158">
      <c r="B158" s="86"/>
    </row>
    <row r="159">
      <c r="B159" s="86"/>
    </row>
    <row r="160">
      <c r="B160" s="86"/>
    </row>
    <row r="161">
      <c r="B161" s="86"/>
    </row>
    <row r="162">
      <c r="B162" s="86"/>
    </row>
    <row r="163">
      <c r="B163" s="86"/>
    </row>
    <row r="164">
      <c r="B164" s="86"/>
    </row>
    <row r="165">
      <c r="B165" s="86"/>
    </row>
    <row r="166">
      <c r="B166" s="86"/>
    </row>
    <row r="167">
      <c r="B167" s="86"/>
    </row>
    <row r="168">
      <c r="B168" s="86"/>
    </row>
    <row r="169">
      <c r="B169" s="86"/>
    </row>
    <row r="170">
      <c r="B170" s="86"/>
    </row>
    <row r="171">
      <c r="B171" s="86"/>
    </row>
    <row r="172">
      <c r="B172" s="86"/>
    </row>
    <row r="173">
      <c r="B173" s="86"/>
    </row>
    <row r="174">
      <c r="B174" s="86"/>
    </row>
    <row r="175">
      <c r="B175" s="86"/>
    </row>
    <row r="176">
      <c r="B176" s="86"/>
    </row>
    <row r="177">
      <c r="B177" s="86"/>
    </row>
    <row r="178">
      <c r="B178" s="86"/>
    </row>
    <row r="179">
      <c r="B179" s="86"/>
    </row>
    <row r="180">
      <c r="B180" s="86"/>
    </row>
    <row r="181">
      <c r="B181" s="86"/>
    </row>
    <row r="182">
      <c r="B182" s="86"/>
    </row>
    <row r="183">
      <c r="B183" s="86"/>
    </row>
    <row r="184">
      <c r="B184" s="86"/>
    </row>
    <row r="185">
      <c r="B185" s="86"/>
    </row>
    <row r="186">
      <c r="B186" s="86"/>
    </row>
    <row r="187">
      <c r="B187" s="86"/>
    </row>
    <row r="188">
      <c r="B188" s="86"/>
    </row>
    <row r="189">
      <c r="B189" s="86"/>
    </row>
    <row r="190">
      <c r="B190" s="86"/>
    </row>
    <row r="191">
      <c r="B191" s="86"/>
    </row>
    <row r="192">
      <c r="B192" s="86"/>
    </row>
    <row r="193">
      <c r="B193" s="86"/>
    </row>
    <row r="194">
      <c r="B194" s="86"/>
    </row>
    <row r="195">
      <c r="B195" s="86"/>
    </row>
    <row r="196">
      <c r="B196" s="86"/>
    </row>
    <row r="197">
      <c r="B197" s="86"/>
    </row>
    <row r="198">
      <c r="B198" s="86"/>
    </row>
    <row r="199">
      <c r="B199" s="86"/>
    </row>
    <row r="200">
      <c r="B200" s="86"/>
    </row>
    <row r="201">
      <c r="B201" s="86"/>
    </row>
    <row r="202">
      <c r="B202" s="86"/>
    </row>
    <row r="203">
      <c r="B203" s="86"/>
    </row>
    <row r="204">
      <c r="B204" s="86"/>
    </row>
    <row r="205">
      <c r="B205" s="86"/>
    </row>
    <row r="206">
      <c r="B206" s="86"/>
    </row>
    <row r="207">
      <c r="B207" s="86"/>
    </row>
    <row r="208">
      <c r="B208" s="86"/>
    </row>
    <row r="209">
      <c r="B209" s="86"/>
    </row>
    <row r="210">
      <c r="B210" s="86"/>
    </row>
    <row r="211">
      <c r="B211" s="86"/>
    </row>
    <row r="212">
      <c r="B212" s="86"/>
    </row>
    <row r="213">
      <c r="B213" s="86"/>
    </row>
    <row r="214">
      <c r="B214" s="86"/>
    </row>
    <row r="215">
      <c r="B215" s="86"/>
    </row>
    <row r="216">
      <c r="B216" s="86"/>
    </row>
    <row r="217">
      <c r="B217" s="86"/>
    </row>
    <row r="218">
      <c r="B218" s="86"/>
    </row>
    <row r="219">
      <c r="B219" s="86"/>
    </row>
    <row r="220">
      <c r="B220" s="86"/>
    </row>
    <row r="221">
      <c r="B221" s="86"/>
    </row>
    <row r="222">
      <c r="B222" s="86"/>
    </row>
    <row r="223">
      <c r="B223" s="86"/>
    </row>
    <row r="224">
      <c r="B224" s="86"/>
    </row>
    <row r="225">
      <c r="B225" s="86"/>
    </row>
    <row r="226">
      <c r="B226" s="86"/>
    </row>
    <row r="227">
      <c r="B227" s="86"/>
    </row>
    <row r="228">
      <c r="B228" s="86"/>
    </row>
    <row r="229">
      <c r="B229" s="86"/>
    </row>
    <row r="230">
      <c r="B230" s="86"/>
    </row>
    <row r="231">
      <c r="B231" s="86"/>
    </row>
    <row r="232">
      <c r="B232" s="86"/>
    </row>
    <row r="233">
      <c r="B233" s="86"/>
    </row>
    <row r="234">
      <c r="B234" s="86"/>
    </row>
    <row r="235">
      <c r="B235" s="86"/>
    </row>
    <row r="236">
      <c r="B236" s="86"/>
    </row>
    <row r="237">
      <c r="B237" s="86"/>
    </row>
    <row r="238">
      <c r="B238" s="86"/>
    </row>
    <row r="239">
      <c r="B239" s="86"/>
    </row>
    <row r="240">
      <c r="B240" s="86"/>
    </row>
    <row r="241">
      <c r="B241" s="86"/>
    </row>
    <row r="242">
      <c r="B242" s="86"/>
    </row>
    <row r="243">
      <c r="B243" s="86"/>
    </row>
    <row r="244">
      <c r="B244" s="86"/>
    </row>
    <row r="245">
      <c r="B245" s="86"/>
    </row>
    <row r="246">
      <c r="B246" s="86"/>
    </row>
    <row r="247">
      <c r="B247" s="86"/>
    </row>
    <row r="248">
      <c r="B248" s="86"/>
    </row>
    <row r="249">
      <c r="B249" s="86"/>
    </row>
    <row r="250">
      <c r="B250" s="86"/>
    </row>
    <row r="251">
      <c r="B251" s="86"/>
    </row>
    <row r="252">
      <c r="B252" s="86"/>
    </row>
    <row r="253">
      <c r="B253" s="86"/>
    </row>
    <row r="254">
      <c r="B254" s="86"/>
    </row>
    <row r="255">
      <c r="B255" s="86"/>
    </row>
    <row r="256">
      <c r="B256" s="86"/>
    </row>
    <row r="257">
      <c r="B257" s="86"/>
    </row>
    <row r="258">
      <c r="B258" s="86"/>
    </row>
    <row r="259">
      <c r="B259" s="86"/>
    </row>
    <row r="260">
      <c r="B260" s="86"/>
    </row>
    <row r="261">
      <c r="B261" s="86"/>
    </row>
    <row r="262">
      <c r="B262" s="86"/>
    </row>
    <row r="263">
      <c r="B263" s="86"/>
    </row>
    <row r="264">
      <c r="B264" s="86"/>
    </row>
    <row r="265">
      <c r="B265" s="86"/>
    </row>
    <row r="266">
      <c r="B266" s="86"/>
    </row>
    <row r="267">
      <c r="B267" s="86"/>
    </row>
    <row r="268">
      <c r="B268" s="86"/>
    </row>
    <row r="269">
      <c r="B269" s="86"/>
    </row>
    <row r="270">
      <c r="B270" s="86"/>
    </row>
    <row r="271">
      <c r="B271" s="86"/>
    </row>
    <row r="272">
      <c r="B272" s="86"/>
    </row>
    <row r="273">
      <c r="B273" s="86"/>
    </row>
    <row r="274">
      <c r="B274" s="86"/>
    </row>
    <row r="275">
      <c r="B275" s="86"/>
    </row>
    <row r="276">
      <c r="B276" s="86"/>
    </row>
    <row r="277">
      <c r="B277" s="86"/>
    </row>
    <row r="278">
      <c r="B278" s="86"/>
    </row>
    <row r="279">
      <c r="B279" s="86"/>
    </row>
    <row r="280">
      <c r="B280" s="86"/>
    </row>
    <row r="281">
      <c r="B281" s="86"/>
    </row>
    <row r="282">
      <c r="B282" s="86"/>
    </row>
    <row r="283">
      <c r="B283" s="86"/>
    </row>
    <row r="284">
      <c r="B284" s="86"/>
    </row>
    <row r="285">
      <c r="B285" s="86"/>
    </row>
    <row r="286">
      <c r="B286" s="86"/>
    </row>
    <row r="287">
      <c r="B287" s="86"/>
    </row>
    <row r="288">
      <c r="B288" s="86"/>
    </row>
    <row r="289">
      <c r="B289" s="86"/>
    </row>
    <row r="290">
      <c r="B290" s="86"/>
    </row>
    <row r="291">
      <c r="B291" s="86"/>
    </row>
    <row r="292">
      <c r="B292" s="86"/>
    </row>
    <row r="293">
      <c r="B293" s="86"/>
    </row>
    <row r="294">
      <c r="B294" s="86"/>
    </row>
    <row r="295">
      <c r="B295" s="86"/>
    </row>
    <row r="296">
      <c r="B296" s="86"/>
    </row>
    <row r="297">
      <c r="B297" s="86"/>
    </row>
    <row r="298">
      <c r="B298" s="86"/>
    </row>
    <row r="299">
      <c r="B299" s="86"/>
    </row>
    <row r="300">
      <c r="B300" s="86"/>
    </row>
    <row r="301">
      <c r="B301" s="86"/>
    </row>
    <row r="302">
      <c r="B302" s="86"/>
    </row>
    <row r="303">
      <c r="B303" s="86"/>
    </row>
    <row r="304">
      <c r="B304" s="86"/>
    </row>
    <row r="305">
      <c r="B305" s="86"/>
    </row>
    <row r="306">
      <c r="B306" s="86"/>
    </row>
    <row r="307">
      <c r="B307" s="86"/>
    </row>
    <row r="308">
      <c r="B308" s="86"/>
    </row>
    <row r="309">
      <c r="B309" s="86"/>
    </row>
    <row r="310">
      <c r="B310" s="86"/>
    </row>
    <row r="311">
      <c r="B311" s="86"/>
    </row>
    <row r="312">
      <c r="B312" s="86"/>
    </row>
    <row r="313">
      <c r="B313" s="86"/>
    </row>
    <row r="314">
      <c r="B314" s="86"/>
    </row>
    <row r="315">
      <c r="B315" s="86"/>
    </row>
    <row r="316">
      <c r="B316" s="86"/>
    </row>
    <row r="317">
      <c r="B317" s="86"/>
    </row>
    <row r="318">
      <c r="B318" s="86"/>
    </row>
    <row r="319">
      <c r="B319" s="86"/>
    </row>
    <row r="320">
      <c r="B320" s="86"/>
    </row>
    <row r="321">
      <c r="B321" s="86"/>
    </row>
    <row r="322">
      <c r="B322" s="86"/>
    </row>
    <row r="323">
      <c r="B323" s="86"/>
    </row>
    <row r="324">
      <c r="B324" s="86"/>
    </row>
    <row r="325">
      <c r="B325" s="86"/>
    </row>
    <row r="326">
      <c r="B326" s="86"/>
    </row>
    <row r="327">
      <c r="B327" s="86"/>
    </row>
    <row r="328">
      <c r="B328" s="86"/>
    </row>
    <row r="329">
      <c r="B329" s="86"/>
    </row>
    <row r="330">
      <c r="B330" s="86"/>
    </row>
    <row r="331">
      <c r="B331" s="86"/>
    </row>
    <row r="332">
      <c r="B332" s="86"/>
    </row>
    <row r="333">
      <c r="B333" s="86"/>
    </row>
    <row r="334">
      <c r="B334" s="86"/>
    </row>
    <row r="335">
      <c r="B335" s="86"/>
    </row>
    <row r="336">
      <c r="B336" s="86"/>
    </row>
    <row r="337">
      <c r="B337" s="86"/>
    </row>
    <row r="338">
      <c r="B338" s="86"/>
    </row>
    <row r="339">
      <c r="B339" s="86"/>
    </row>
    <row r="340">
      <c r="B340" s="86"/>
    </row>
    <row r="341">
      <c r="B341" s="86"/>
    </row>
    <row r="342">
      <c r="B342" s="86"/>
    </row>
    <row r="343">
      <c r="B343" s="86"/>
    </row>
    <row r="344">
      <c r="B344" s="86"/>
    </row>
    <row r="345">
      <c r="B345" s="86"/>
    </row>
    <row r="346">
      <c r="B346" s="86"/>
    </row>
    <row r="347">
      <c r="B347" s="86"/>
    </row>
    <row r="348">
      <c r="B348" s="86"/>
    </row>
    <row r="349">
      <c r="B349" s="86"/>
    </row>
    <row r="350">
      <c r="B350" s="86"/>
    </row>
    <row r="351">
      <c r="B351" s="86"/>
    </row>
    <row r="352">
      <c r="B352" s="86"/>
    </row>
    <row r="353">
      <c r="B353" s="86"/>
    </row>
    <row r="354">
      <c r="B354" s="86"/>
    </row>
    <row r="355">
      <c r="B355" s="86"/>
    </row>
    <row r="356">
      <c r="B356" s="86"/>
    </row>
    <row r="357">
      <c r="B357" s="86"/>
    </row>
    <row r="358">
      <c r="B358" s="86"/>
    </row>
    <row r="359">
      <c r="B359" s="86"/>
    </row>
    <row r="360">
      <c r="B360" s="86"/>
    </row>
    <row r="361">
      <c r="B361" s="86"/>
    </row>
    <row r="362">
      <c r="B362" s="86"/>
    </row>
    <row r="363">
      <c r="B363" s="86"/>
    </row>
    <row r="364">
      <c r="B364" s="86"/>
    </row>
    <row r="365">
      <c r="B365" s="86"/>
    </row>
    <row r="366">
      <c r="B366" s="86"/>
    </row>
    <row r="367">
      <c r="B367" s="86"/>
    </row>
    <row r="368">
      <c r="B368" s="86"/>
    </row>
    <row r="369">
      <c r="B369" s="86"/>
    </row>
    <row r="370">
      <c r="B370" s="86"/>
    </row>
    <row r="371">
      <c r="B371" s="86"/>
    </row>
    <row r="372">
      <c r="B372" s="86"/>
    </row>
    <row r="373">
      <c r="B373" s="86"/>
    </row>
    <row r="374">
      <c r="B374" s="86"/>
    </row>
    <row r="375">
      <c r="B375" s="86"/>
    </row>
    <row r="376">
      <c r="B376" s="86"/>
    </row>
    <row r="377">
      <c r="B377" s="86"/>
    </row>
    <row r="378">
      <c r="B378" s="86"/>
    </row>
    <row r="379">
      <c r="B379" s="86"/>
    </row>
    <row r="380">
      <c r="B380" s="86"/>
    </row>
    <row r="381">
      <c r="B381" s="86"/>
    </row>
    <row r="382">
      <c r="B382" s="86"/>
    </row>
    <row r="383">
      <c r="B383" s="86"/>
    </row>
    <row r="384">
      <c r="B384" s="86"/>
    </row>
    <row r="385">
      <c r="B385" s="86"/>
    </row>
    <row r="386">
      <c r="B386" s="86"/>
    </row>
    <row r="387">
      <c r="B387" s="86"/>
    </row>
    <row r="388">
      <c r="B388" s="86"/>
    </row>
    <row r="389">
      <c r="B389" s="86"/>
    </row>
    <row r="390">
      <c r="B390" s="86"/>
    </row>
    <row r="391">
      <c r="B391" s="86"/>
    </row>
    <row r="392">
      <c r="B392" s="86"/>
    </row>
    <row r="393">
      <c r="B393" s="86"/>
    </row>
    <row r="394">
      <c r="B394" s="86"/>
    </row>
    <row r="395">
      <c r="B395" s="86"/>
    </row>
    <row r="396">
      <c r="B396" s="86"/>
    </row>
    <row r="397">
      <c r="B397" s="86"/>
    </row>
    <row r="398">
      <c r="B398" s="86"/>
    </row>
    <row r="399">
      <c r="B399" s="86"/>
    </row>
    <row r="400">
      <c r="B400" s="86"/>
    </row>
    <row r="401">
      <c r="B401" s="86"/>
    </row>
    <row r="402">
      <c r="B402" s="86"/>
    </row>
    <row r="403">
      <c r="B403" s="86"/>
    </row>
    <row r="404">
      <c r="B404" s="86"/>
    </row>
    <row r="405">
      <c r="B405" s="86"/>
    </row>
    <row r="406">
      <c r="B406" s="86"/>
    </row>
    <row r="407">
      <c r="B407" s="86"/>
    </row>
    <row r="408">
      <c r="B408" s="86"/>
    </row>
    <row r="409">
      <c r="B409" s="86"/>
    </row>
    <row r="410">
      <c r="B410" s="86"/>
    </row>
    <row r="411">
      <c r="B411" s="86"/>
    </row>
    <row r="412">
      <c r="B412" s="86"/>
    </row>
    <row r="413">
      <c r="B413" s="86"/>
    </row>
    <row r="414">
      <c r="B414" s="86"/>
    </row>
    <row r="415">
      <c r="B415" s="86"/>
    </row>
    <row r="416">
      <c r="B416" s="86"/>
    </row>
    <row r="417">
      <c r="B417" s="86"/>
    </row>
    <row r="418">
      <c r="B418" s="86"/>
    </row>
    <row r="419">
      <c r="B419" s="86"/>
    </row>
    <row r="420">
      <c r="B420" s="86"/>
    </row>
    <row r="421">
      <c r="B421" s="86"/>
    </row>
    <row r="422">
      <c r="B422" s="86"/>
    </row>
    <row r="423">
      <c r="B423" s="86"/>
    </row>
    <row r="424">
      <c r="B424" s="86"/>
    </row>
    <row r="425">
      <c r="B425" s="86"/>
    </row>
    <row r="426">
      <c r="B426" s="86"/>
    </row>
    <row r="427">
      <c r="B427" s="86"/>
    </row>
    <row r="428">
      <c r="B428" s="86"/>
    </row>
    <row r="429">
      <c r="B429" s="86"/>
    </row>
    <row r="430">
      <c r="B430" s="86"/>
    </row>
    <row r="431">
      <c r="B431" s="86"/>
    </row>
    <row r="432">
      <c r="B432" s="86"/>
    </row>
    <row r="433">
      <c r="B433" s="86"/>
    </row>
    <row r="434">
      <c r="B434" s="86"/>
    </row>
    <row r="435">
      <c r="B435" s="86"/>
    </row>
    <row r="436">
      <c r="B436" s="86"/>
    </row>
    <row r="437">
      <c r="B437" s="86"/>
    </row>
    <row r="438">
      <c r="B438" s="86"/>
    </row>
    <row r="439">
      <c r="B439" s="86"/>
    </row>
    <row r="440">
      <c r="B440" s="86"/>
    </row>
    <row r="441">
      <c r="B441" s="86"/>
    </row>
    <row r="442">
      <c r="B442" s="86"/>
    </row>
    <row r="443">
      <c r="B443" s="86"/>
    </row>
    <row r="444">
      <c r="B444" s="86"/>
    </row>
    <row r="445">
      <c r="B445" s="86"/>
    </row>
    <row r="446">
      <c r="B446" s="86"/>
    </row>
    <row r="447">
      <c r="B447" s="86"/>
    </row>
    <row r="448">
      <c r="B448" s="86"/>
    </row>
    <row r="449">
      <c r="B449" s="86"/>
    </row>
    <row r="450">
      <c r="B450" s="86"/>
    </row>
    <row r="451">
      <c r="B451" s="86"/>
    </row>
    <row r="452">
      <c r="B452" s="86"/>
    </row>
    <row r="453">
      <c r="B453" s="86"/>
    </row>
    <row r="454">
      <c r="B454" s="86"/>
    </row>
    <row r="455">
      <c r="B455" s="86"/>
    </row>
    <row r="456">
      <c r="B456" s="86"/>
    </row>
    <row r="457">
      <c r="B457" s="86"/>
    </row>
    <row r="458">
      <c r="B458" s="86"/>
    </row>
    <row r="459">
      <c r="B459" s="86"/>
    </row>
    <row r="460">
      <c r="B460" s="86"/>
    </row>
    <row r="461">
      <c r="B461" s="86"/>
    </row>
    <row r="462">
      <c r="B462" s="86"/>
    </row>
    <row r="463">
      <c r="B463" s="86"/>
    </row>
    <row r="464">
      <c r="B464" s="86"/>
    </row>
    <row r="465">
      <c r="B465" s="86"/>
    </row>
    <row r="466">
      <c r="B466" s="86"/>
    </row>
    <row r="467">
      <c r="B467" s="86"/>
    </row>
    <row r="468">
      <c r="B468" s="86"/>
    </row>
    <row r="469">
      <c r="B469" s="86"/>
    </row>
    <row r="470">
      <c r="B470" s="86"/>
    </row>
    <row r="471">
      <c r="B471" s="86"/>
    </row>
    <row r="472">
      <c r="B472" s="86"/>
    </row>
    <row r="473">
      <c r="B473" s="86"/>
    </row>
    <row r="474">
      <c r="B474" s="86"/>
    </row>
    <row r="475">
      <c r="B475" s="86"/>
    </row>
    <row r="476">
      <c r="B476" s="86"/>
    </row>
    <row r="477">
      <c r="B477" s="86"/>
    </row>
    <row r="478">
      <c r="B478" s="86"/>
    </row>
    <row r="479">
      <c r="B479" s="86"/>
    </row>
    <row r="480">
      <c r="B480" s="86"/>
    </row>
    <row r="481">
      <c r="B481" s="86"/>
    </row>
    <row r="482">
      <c r="B482" s="86"/>
    </row>
    <row r="483">
      <c r="B483" s="86"/>
    </row>
    <row r="484">
      <c r="B484" s="86"/>
    </row>
    <row r="485">
      <c r="B485" s="86"/>
    </row>
    <row r="486">
      <c r="B486" s="86"/>
    </row>
    <row r="487">
      <c r="B487" s="86"/>
    </row>
    <row r="488">
      <c r="B488" s="86"/>
    </row>
    <row r="489">
      <c r="B489" s="86"/>
    </row>
    <row r="490">
      <c r="B490" s="86"/>
    </row>
    <row r="491">
      <c r="B491" s="86"/>
    </row>
    <row r="492">
      <c r="B492" s="86"/>
    </row>
    <row r="493">
      <c r="B493" s="86"/>
    </row>
    <row r="494">
      <c r="B494" s="86"/>
    </row>
    <row r="495">
      <c r="B495" s="86"/>
    </row>
    <row r="496">
      <c r="B496" s="86"/>
    </row>
    <row r="497">
      <c r="B497" s="86"/>
    </row>
    <row r="498">
      <c r="B498" s="86"/>
    </row>
    <row r="499">
      <c r="B499" s="86"/>
    </row>
    <row r="500">
      <c r="B500" s="86"/>
    </row>
    <row r="501">
      <c r="B501" s="86"/>
    </row>
    <row r="502">
      <c r="B502" s="86"/>
    </row>
    <row r="503">
      <c r="B503" s="86"/>
    </row>
    <row r="504">
      <c r="B504" s="86"/>
    </row>
    <row r="505">
      <c r="B505" s="86"/>
    </row>
    <row r="506">
      <c r="B506" s="86"/>
    </row>
    <row r="507">
      <c r="B507" s="86"/>
    </row>
    <row r="508">
      <c r="B508" s="86"/>
    </row>
    <row r="509">
      <c r="B509" s="86"/>
    </row>
    <row r="510">
      <c r="B510" s="86"/>
    </row>
    <row r="511">
      <c r="B511" s="86"/>
    </row>
    <row r="512">
      <c r="B512" s="86"/>
    </row>
    <row r="513">
      <c r="B513" s="86"/>
    </row>
    <row r="514">
      <c r="B514" s="86"/>
    </row>
    <row r="515">
      <c r="B515" s="86"/>
    </row>
    <row r="516">
      <c r="B516" s="86"/>
    </row>
    <row r="517">
      <c r="B517" s="86"/>
    </row>
    <row r="518">
      <c r="B518" s="86"/>
    </row>
    <row r="519">
      <c r="B519" s="86"/>
    </row>
    <row r="520">
      <c r="B520" s="86"/>
    </row>
    <row r="521">
      <c r="B521" s="86"/>
    </row>
    <row r="522">
      <c r="B522" s="86"/>
    </row>
    <row r="523">
      <c r="B523" s="86"/>
    </row>
    <row r="524">
      <c r="B524" s="86"/>
    </row>
    <row r="525">
      <c r="B525" s="86"/>
    </row>
    <row r="526">
      <c r="B526" s="86"/>
    </row>
    <row r="527">
      <c r="B527" s="86"/>
    </row>
    <row r="528">
      <c r="B528" s="86"/>
    </row>
    <row r="529">
      <c r="B529" s="86"/>
    </row>
    <row r="530">
      <c r="B530" s="86"/>
    </row>
    <row r="531">
      <c r="B531" s="86"/>
    </row>
    <row r="532">
      <c r="B532" s="86"/>
    </row>
    <row r="533">
      <c r="B533" s="86"/>
    </row>
    <row r="534">
      <c r="B534" s="86"/>
    </row>
    <row r="535">
      <c r="B535" s="86"/>
    </row>
    <row r="536">
      <c r="B536" s="86"/>
    </row>
    <row r="537">
      <c r="B537" s="86"/>
    </row>
    <row r="538">
      <c r="B538" s="86"/>
    </row>
    <row r="539">
      <c r="B539" s="86"/>
    </row>
    <row r="540">
      <c r="B540" s="86"/>
    </row>
    <row r="541">
      <c r="B541" s="86"/>
    </row>
    <row r="542">
      <c r="B542" s="86"/>
    </row>
    <row r="543">
      <c r="B543" s="86"/>
    </row>
    <row r="544">
      <c r="B544" s="86"/>
    </row>
    <row r="545">
      <c r="B545" s="86"/>
    </row>
    <row r="546">
      <c r="B546" s="86"/>
    </row>
    <row r="547">
      <c r="B547" s="86"/>
    </row>
    <row r="548">
      <c r="B548" s="86"/>
    </row>
    <row r="549">
      <c r="B549" s="86"/>
    </row>
    <row r="550">
      <c r="B550" s="86"/>
    </row>
    <row r="551">
      <c r="B551" s="86"/>
    </row>
    <row r="552">
      <c r="B552" s="86"/>
    </row>
    <row r="553">
      <c r="B553" s="86"/>
    </row>
    <row r="554">
      <c r="B554" s="86"/>
    </row>
    <row r="555">
      <c r="B555" s="86"/>
    </row>
    <row r="556">
      <c r="B556" s="86"/>
    </row>
    <row r="557">
      <c r="B557" s="86"/>
    </row>
    <row r="558">
      <c r="B558" s="86"/>
    </row>
    <row r="559">
      <c r="B559" s="86"/>
    </row>
    <row r="560">
      <c r="B560" s="86"/>
    </row>
    <row r="561">
      <c r="B561" s="86"/>
    </row>
    <row r="562">
      <c r="B562" s="86"/>
    </row>
    <row r="563">
      <c r="B563" s="86"/>
    </row>
    <row r="564">
      <c r="B564" s="86"/>
    </row>
    <row r="565">
      <c r="B565" s="86"/>
    </row>
    <row r="566">
      <c r="B566" s="86"/>
    </row>
    <row r="567">
      <c r="B567" s="86"/>
    </row>
    <row r="568">
      <c r="B568" s="86"/>
    </row>
    <row r="569">
      <c r="B569" s="86"/>
    </row>
    <row r="570">
      <c r="B570" s="86"/>
    </row>
    <row r="571">
      <c r="B571" s="86"/>
    </row>
    <row r="572">
      <c r="B572" s="86"/>
    </row>
    <row r="573">
      <c r="B573" s="86"/>
    </row>
    <row r="574">
      <c r="B574" s="86"/>
    </row>
    <row r="575">
      <c r="B575" s="86"/>
    </row>
    <row r="576">
      <c r="B576" s="86"/>
    </row>
    <row r="577">
      <c r="B577" s="86"/>
    </row>
    <row r="578">
      <c r="B578" s="86"/>
    </row>
    <row r="579">
      <c r="B579" s="86"/>
    </row>
    <row r="580">
      <c r="B580" s="86"/>
    </row>
    <row r="581">
      <c r="B581" s="86"/>
    </row>
    <row r="582">
      <c r="B582" s="86"/>
    </row>
    <row r="583">
      <c r="B583" s="86"/>
    </row>
    <row r="584">
      <c r="B584" s="86"/>
    </row>
    <row r="585">
      <c r="B585" s="86"/>
    </row>
    <row r="586">
      <c r="B586" s="86"/>
    </row>
    <row r="587">
      <c r="B587" s="86"/>
    </row>
    <row r="588">
      <c r="B588" s="86"/>
    </row>
    <row r="589">
      <c r="B589" s="86"/>
    </row>
    <row r="590">
      <c r="B590" s="86"/>
    </row>
    <row r="591">
      <c r="B591" s="86"/>
    </row>
    <row r="592">
      <c r="B592" s="86"/>
    </row>
    <row r="593">
      <c r="B593" s="86"/>
    </row>
    <row r="594">
      <c r="B594" s="86"/>
    </row>
    <row r="595">
      <c r="B595" s="86"/>
    </row>
    <row r="596">
      <c r="B596" s="86"/>
    </row>
    <row r="597">
      <c r="B597" s="86"/>
    </row>
    <row r="598">
      <c r="B598" s="86"/>
    </row>
    <row r="599">
      <c r="B599" s="86"/>
    </row>
    <row r="600">
      <c r="B600" s="86"/>
    </row>
    <row r="601">
      <c r="B601" s="86"/>
    </row>
    <row r="602">
      <c r="B602" s="86"/>
    </row>
    <row r="603">
      <c r="B603" s="86"/>
    </row>
    <row r="604">
      <c r="B604" s="86"/>
    </row>
    <row r="605">
      <c r="B605" s="86"/>
    </row>
    <row r="606">
      <c r="B606" s="86"/>
    </row>
    <row r="607">
      <c r="B607" s="86"/>
    </row>
    <row r="608">
      <c r="B608" s="86"/>
    </row>
    <row r="609">
      <c r="B609" s="86"/>
    </row>
    <row r="610">
      <c r="B610" s="86"/>
    </row>
    <row r="611">
      <c r="B611" s="86"/>
    </row>
    <row r="612">
      <c r="B612" s="86"/>
    </row>
    <row r="613">
      <c r="B613" s="86"/>
    </row>
    <row r="614">
      <c r="B614" s="86"/>
    </row>
    <row r="615">
      <c r="B615" s="86"/>
    </row>
    <row r="616">
      <c r="B616" s="86"/>
    </row>
    <row r="617">
      <c r="B617" s="86"/>
    </row>
    <row r="618">
      <c r="B618" s="86"/>
    </row>
    <row r="619">
      <c r="B619" s="86"/>
    </row>
    <row r="620">
      <c r="B620" s="86"/>
    </row>
    <row r="621">
      <c r="B621" s="86"/>
    </row>
    <row r="622">
      <c r="B622" s="86"/>
    </row>
    <row r="623">
      <c r="B623" s="86"/>
    </row>
    <row r="624">
      <c r="B624" s="86"/>
    </row>
    <row r="625">
      <c r="B625" s="86"/>
    </row>
    <row r="626">
      <c r="B626" s="86"/>
    </row>
    <row r="627">
      <c r="B627" s="86"/>
    </row>
    <row r="628">
      <c r="B628" s="86"/>
    </row>
    <row r="629">
      <c r="B629" s="86"/>
    </row>
    <row r="630">
      <c r="B630" s="86"/>
    </row>
    <row r="631">
      <c r="B631" s="86"/>
    </row>
    <row r="632">
      <c r="B632" s="86"/>
    </row>
    <row r="633">
      <c r="B633" s="86"/>
    </row>
    <row r="634">
      <c r="B634" s="86"/>
    </row>
    <row r="635">
      <c r="B635" s="86"/>
    </row>
    <row r="636">
      <c r="B636" s="86"/>
    </row>
    <row r="637">
      <c r="B637" s="86"/>
    </row>
    <row r="638">
      <c r="B638" s="86"/>
    </row>
    <row r="639">
      <c r="B639" s="86"/>
    </row>
    <row r="640">
      <c r="B640" s="86"/>
    </row>
    <row r="641">
      <c r="B641" s="86"/>
    </row>
    <row r="642">
      <c r="B642" s="86"/>
    </row>
    <row r="643">
      <c r="B643" s="86"/>
    </row>
    <row r="644">
      <c r="B644" s="86"/>
    </row>
    <row r="645">
      <c r="B645" s="86"/>
    </row>
    <row r="646">
      <c r="B646" s="86"/>
    </row>
    <row r="647">
      <c r="B647" s="86"/>
    </row>
    <row r="648">
      <c r="B648" s="86"/>
    </row>
    <row r="649">
      <c r="B649" s="86"/>
    </row>
    <row r="650">
      <c r="B650" s="86"/>
    </row>
    <row r="651">
      <c r="B651" s="86"/>
    </row>
    <row r="652">
      <c r="B652" s="86"/>
    </row>
    <row r="653">
      <c r="B653" s="86"/>
    </row>
    <row r="654">
      <c r="B654" s="86"/>
    </row>
    <row r="655">
      <c r="B655" s="86"/>
    </row>
    <row r="656">
      <c r="B656" s="86"/>
    </row>
    <row r="657">
      <c r="B657" s="86"/>
    </row>
    <row r="658">
      <c r="B658" s="86"/>
    </row>
    <row r="659">
      <c r="B659" s="86"/>
    </row>
    <row r="660">
      <c r="B660" s="86"/>
    </row>
    <row r="661">
      <c r="B661" s="86"/>
    </row>
    <row r="662">
      <c r="B662" s="86"/>
    </row>
    <row r="663">
      <c r="B663" s="86"/>
    </row>
    <row r="664">
      <c r="B664" s="86"/>
    </row>
    <row r="665">
      <c r="B665" s="86"/>
    </row>
    <row r="666">
      <c r="B666" s="86"/>
    </row>
    <row r="667">
      <c r="B667" s="86"/>
    </row>
    <row r="668">
      <c r="B668" s="86"/>
    </row>
    <row r="669">
      <c r="B669" s="86"/>
    </row>
    <row r="670">
      <c r="B670" s="86"/>
    </row>
    <row r="671">
      <c r="B671" s="86"/>
    </row>
    <row r="672">
      <c r="B672" s="86"/>
    </row>
    <row r="673">
      <c r="B673" s="86"/>
    </row>
    <row r="674">
      <c r="B674" s="86"/>
    </row>
    <row r="675">
      <c r="B675" s="86"/>
    </row>
    <row r="676">
      <c r="B676" s="86"/>
    </row>
    <row r="677">
      <c r="B677" s="86"/>
    </row>
    <row r="678">
      <c r="B678" s="86"/>
    </row>
    <row r="679">
      <c r="B679" s="86"/>
    </row>
    <row r="680">
      <c r="B680" s="86"/>
    </row>
    <row r="681">
      <c r="B681" s="86"/>
    </row>
    <row r="682">
      <c r="B682" s="86"/>
    </row>
    <row r="683">
      <c r="B683" s="86"/>
    </row>
    <row r="684">
      <c r="B684" s="86"/>
    </row>
    <row r="685">
      <c r="B685" s="86"/>
    </row>
    <row r="686">
      <c r="B686" s="86"/>
    </row>
    <row r="687">
      <c r="B687" s="86"/>
    </row>
    <row r="688">
      <c r="B688" s="86"/>
    </row>
    <row r="689">
      <c r="B689" s="86"/>
    </row>
    <row r="690">
      <c r="B690" s="86"/>
    </row>
    <row r="691">
      <c r="B691" s="86"/>
    </row>
    <row r="692">
      <c r="B692" s="86"/>
    </row>
    <row r="693">
      <c r="B693" s="86"/>
    </row>
    <row r="694">
      <c r="B694" s="86"/>
    </row>
    <row r="695">
      <c r="B695" s="86"/>
    </row>
    <row r="696">
      <c r="B696" s="86"/>
    </row>
    <row r="697">
      <c r="B697" s="86"/>
    </row>
    <row r="698">
      <c r="B698" s="86"/>
    </row>
    <row r="699">
      <c r="B699" s="86"/>
    </row>
    <row r="700">
      <c r="B700" s="86"/>
    </row>
    <row r="701">
      <c r="B701" s="86"/>
    </row>
    <row r="702">
      <c r="B702" s="86"/>
    </row>
    <row r="703">
      <c r="B703" s="86"/>
    </row>
    <row r="704">
      <c r="B704" s="86"/>
    </row>
    <row r="705">
      <c r="B705" s="86"/>
    </row>
    <row r="706">
      <c r="B706" s="86"/>
    </row>
    <row r="707">
      <c r="B707" s="86"/>
    </row>
    <row r="708">
      <c r="B708" s="86"/>
    </row>
    <row r="709">
      <c r="B709" s="86"/>
    </row>
    <row r="710">
      <c r="B710" s="86"/>
    </row>
    <row r="711">
      <c r="B711" s="86"/>
    </row>
    <row r="712">
      <c r="B712" s="86"/>
    </row>
    <row r="713">
      <c r="B713" s="86"/>
    </row>
    <row r="714">
      <c r="B714" s="86"/>
    </row>
    <row r="715">
      <c r="B715" s="86"/>
    </row>
    <row r="716">
      <c r="B716" s="86"/>
    </row>
    <row r="717">
      <c r="B717" s="86"/>
    </row>
    <row r="718">
      <c r="B718" s="86"/>
    </row>
    <row r="719">
      <c r="B719" s="86"/>
    </row>
    <row r="720">
      <c r="B720" s="86"/>
    </row>
    <row r="721">
      <c r="B721" s="86"/>
    </row>
    <row r="722">
      <c r="B722" s="86"/>
    </row>
    <row r="723">
      <c r="B723" s="86"/>
    </row>
    <row r="724">
      <c r="B724" s="86"/>
    </row>
    <row r="725">
      <c r="B725" s="86"/>
    </row>
    <row r="726">
      <c r="B726" s="86"/>
    </row>
    <row r="727">
      <c r="B727" s="86"/>
    </row>
    <row r="728">
      <c r="B728" s="86"/>
    </row>
    <row r="729">
      <c r="B729" s="86"/>
    </row>
    <row r="730">
      <c r="B730" s="86"/>
    </row>
    <row r="731">
      <c r="B731" s="86"/>
    </row>
    <row r="732">
      <c r="B732" s="86"/>
    </row>
    <row r="733">
      <c r="B733" s="86"/>
    </row>
    <row r="734">
      <c r="B734" s="86"/>
    </row>
    <row r="735">
      <c r="B735" s="86"/>
    </row>
    <row r="736">
      <c r="B736" s="86"/>
    </row>
    <row r="737">
      <c r="B737" s="86"/>
    </row>
    <row r="738">
      <c r="B738" s="86"/>
    </row>
    <row r="739">
      <c r="B739" s="86"/>
    </row>
    <row r="740">
      <c r="B740" s="86"/>
    </row>
    <row r="741">
      <c r="B741" s="86"/>
    </row>
    <row r="742">
      <c r="B742" s="86"/>
    </row>
    <row r="743">
      <c r="B743" s="86"/>
    </row>
    <row r="744">
      <c r="B744" s="86"/>
    </row>
    <row r="745">
      <c r="B745" s="86"/>
    </row>
    <row r="746">
      <c r="B746" s="86"/>
    </row>
    <row r="747">
      <c r="B747" s="86"/>
    </row>
    <row r="748">
      <c r="B748" s="86"/>
    </row>
    <row r="749">
      <c r="B749" s="86"/>
    </row>
    <row r="750">
      <c r="B750" s="86"/>
    </row>
    <row r="751">
      <c r="B751" s="86"/>
    </row>
    <row r="752">
      <c r="B752" s="86"/>
    </row>
    <row r="753">
      <c r="B753" s="86"/>
    </row>
    <row r="754">
      <c r="B754" s="86"/>
    </row>
    <row r="755">
      <c r="B755" s="86"/>
    </row>
    <row r="756">
      <c r="B756" s="86"/>
    </row>
    <row r="757">
      <c r="B757" s="86"/>
    </row>
    <row r="758">
      <c r="B758" s="86"/>
    </row>
    <row r="759">
      <c r="B759" s="86"/>
    </row>
    <row r="760">
      <c r="B760" s="86"/>
    </row>
    <row r="761">
      <c r="B761" s="86"/>
    </row>
    <row r="762">
      <c r="B762" s="86"/>
    </row>
    <row r="763">
      <c r="B763" s="86"/>
    </row>
    <row r="764">
      <c r="B764" s="86"/>
    </row>
    <row r="765">
      <c r="B765" s="86"/>
    </row>
    <row r="766">
      <c r="B766" s="86"/>
    </row>
    <row r="767">
      <c r="B767" s="86"/>
    </row>
    <row r="768">
      <c r="B768" s="86"/>
    </row>
    <row r="769">
      <c r="B769" s="86"/>
    </row>
    <row r="770">
      <c r="B770" s="86"/>
    </row>
    <row r="771">
      <c r="B771" s="86"/>
    </row>
    <row r="772">
      <c r="B772" s="86"/>
    </row>
    <row r="773">
      <c r="B773" s="86"/>
    </row>
    <row r="774">
      <c r="B774" s="86"/>
    </row>
    <row r="775">
      <c r="B775" s="86"/>
    </row>
    <row r="776">
      <c r="B776" s="86"/>
    </row>
    <row r="777">
      <c r="B777" s="86"/>
    </row>
    <row r="778">
      <c r="B778" s="86"/>
    </row>
    <row r="779">
      <c r="B779" s="86"/>
    </row>
    <row r="780">
      <c r="B780" s="86"/>
    </row>
    <row r="781">
      <c r="B781" s="86"/>
    </row>
    <row r="782">
      <c r="B782" s="86"/>
    </row>
    <row r="783">
      <c r="B783" s="86"/>
    </row>
    <row r="784">
      <c r="B784" s="86"/>
    </row>
    <row r="785">
      <c r="B785" s="86"/>
    </row>
    <row r="786">
      <c r="B786" s="86"/>
    </row>
    <row r="787">
      <c r="B787" s="86"/>
    </row>
    <row r="788">
      <c r="B788" s="86"/>
    </row>
    <row r="789">
      <c r="B789" s="86"/>
    </row>
    <row r="790">
      <c r="B790" s="86"/>
    </row>
    <row r="791">
      <c r="B791" s="86"/>
    </row>
    <row r="792">
      <c r="B792" s="86"/>
    </row>
    <row r="793">
      <c r="B793" s="86"/>
    </row>
    <row r="794">
      <c r="B794" s="86"/>
    </row>
    <row r="795">
      <c r="B795" s="86"/>
    </row>
    <row r="796">
      <c r="B796" s="86"/>
    </row>
    <row r="797">
      <c r="B797" s="86"/>
    </row>
    <row r="798">
      <c r="B798" s="86"/>
    </row>
    <row r="799">
      <c r="B799" s="86"/>
    </row>
    <row r="800">
      <c r="B800" s="86"/>
    </row>
    <row r="801">
      <c r="B801" s="86"/>
    </row>
    <row r="802">
      <c r="B802" s="86"/>
    </row>
    <row r="803">
      <c r="B803" s="86"/>
    </row>
    <row r="804">
      <c r="B804" s="86"/>
    </row>
    <row r="805">
      <c r="B805" s="86"/>
    </row>
    <row r="806">
      <c r="B806" s="86"/>
    </row>
    <row r="807">
      <c r="B807" s="86"/>
    </row>
    <row r="808">
      <c r="B808" s="86"/>
    </row>
    <row r="809">
      <c r="B809" s="86"/>
    </row>
    <row r="810">
      <c r="B810" s="86"/>
    </row>
    <row r="811">
      <c r="B811" s="86"/>
    </row>
    <row r="812">
      <c r="B812" s="86"/>
    </row>
    <row r="813">
      <c r="B813" s="86"/>
    </row>
    <row r="814">
      <c r="B814" s="86"/>
    </row>
    <row r="815">
      <c r="B815" s="86"/>
    </row>
    <row r="816">
      <c r="B816" s="86"/>
    </row>
    <row r="817">
      <c r="B817" s="86"/>
    </row>
    <row r="818">
      <c r="B818" s="86"/>
    </row>
    <row r="819">
      <c r="B819" s="86"/>
    </row>
    <row r="820">
      <c r="B820" s="86"/>
    </row>
    <row r="821">
      <c r="B821" s="86"/>
    </row>
    <row r="822">
      <c r="B822" s="86"/>
    </row>
    <row r="823">
      <c r="B823" s="86"/>
    </row>
    <row r="824">
      <c r="B824" s="86"/>
    </row>
    <row r="825">
      <c r="B825" s="86"/>
    </row>
    <row r="826">
      <c r="B826" s="86"/>
    </row>
    <row r="827">
      <c r="B827" s="86"/>
    </row>
    <row r="828">
      <c r="B828" s="86"/>
    </row>
    <row r="829">
      <c r="B829" s="86"/>
    </row>
    <row r="830">
      <c r="B830" s="86"/>
    </row>
    <row r="831">
      <c r="B831" s="86"/>
    </row>
    <row r="832">
      <c r="B832" s="86"/>
    </row>
    <row r="833">
      <c r="B833" s="86"/>
    </row>
    <row r="834">
      <c r="B834" s="86"/>
    </row>
    <row r="835">
      <c r="B835" s="86"/>
    </row>
    <row r="836">
      <c r="B836" s="86"/>
    </row>
    <row r="837">
      <c r="B837" s="86"/>
    </row>
    <row r="838">
      <c r="B838" s="86"/>
    </row>
    <row r="839">
      <c r="B839" s="86"/>
    </row>
    <row r="840">
      <c r="B840" s="86"/>
    </row>
    <row r="841">
      <c r="B841" s="86"/>
    </row>
    <row r="842">
      <c r="B842" s="86"/>
    </row>
    <row r="843">
      <c r="B843" s="86"/>
    </row>
    <row r="844">
      <c r="B844" s="86"/>
    </row>
    <row r="845">
      <c r="B845" s="86"/>
    </row>
    <row r="846">
      <c r="B846" s="86"/>
    </row>
    <row r="847">
      <c r="B847" s="86"/>
    </row>
    <row r="848">
      <c r="B848" s="86"/>
    </row>
    <row r="849">
      <c r="B849" s="86"/>
    </row>
    <row r="850">
      <c r="B850" s="86"/>
    </row>
    <row r="851">
      <c r="B851" s="86"/>
    </row>
    <row r="852">
      <c r="B852" s="86"/>
    </row>
    <row r="853">
      <c r="B853" s="86"/>
    </row>
    <row r="854">
      <c r="B854" s="86"/>
    </row>
    <row r="855">
      <c r="B855" s="86"/>
    </row>
    <row r="856">
      <c r="B856" s="86"/>
    </row>
    <row r="857">
      <c r="B857" s="86"/>
    </row>
    <row r="858">
      <c r="B858" s="86"/>
    </row>
    <row r="859">
      <c r="B859" s="86"/>
    </row>
    <row r="860">
      <c r="B860" s="86"/>
    </row>
    <row r="861">
      <c r="B861" s="86"/>
    </row>
    <row r="862">
      <c r="B862" s="86"/>
    </row>
    <row r="863">
      <c r="B863" s="86"/>
    </row>
    <row r="864">
      <c r="B864" s="86"/>
    </row>
    <row r="865">
      <c r="B865" s="86"/>
    </row>
    <row r="866">
      <c r="B866" s="86"/>
    </row>
    <row r="867">
      <c r="B867" s="86"/>
    </row>
    <row r="868">
      <c r="B868" s="86"/>
    </row>
    <row r="869">
      <c r="B869" s="86"/>
    </row>
    <row r="870">
      <c r="B870" s="86"/>
    </row>
    <row r="871">
      <c r="B871" s="86"/>
    </row>
    <row r="872">
      <c r="B872" s="86"/>
    </row>
    <row r="873">
      <c r="B873" s="86"/>
    </row>
    <row r="874">
      <c r="B874" s="86"/>
    </row>
    <row r="875">
      <c r="B875" s="86"/>
    </row>
    <row r="876">
      <c r="B876" s="86"/>
    </row>
    <row r="877">
      <c r="B877" s="86"/>
    </row>
    <row r="878">
      <c r="B878" s="86"/>
    </row>
    <row r="879">
      <c r="B879" s="86"/>
    </row>
    <row r="880">
      <c r="B880" s="86"/>
    </row>
    <row r="881">
      <c r="B881" s="86"/>
    </row>
    <row r="882">
      <c r="B882" s="86"/>
    </row>
    <row r="883">
      <c r="B883" s="86"/>
    </row>
    <row r="884">
      <c r="B884" s="86"/>
    </row>
    <row r="885">
      <c r="B885" s="86"/>
    </row>
    <row r="886">
      <c r="B886" s="86"/>
    </row>
    <row r="887">
      <c r="B887" s="86"/>
    </row>
    <row r="888">
      <c r="B888" s="86"/>
    </row>
    <row r="889">
      <c r="B889" s="86"/>
    </row>
    <row r="890">
      <c r="B890" s="86"/>
    </row>
    <row r="891">
      <c r="B891" s="86"/>
    </row>
    <row r="892">
      <c r="B892" s="86"/>
    </row>
    <row r="893">
      <c r="B893" s="86"/>
    </row>
    <row r="894">
      <c r="B894" s="86"/>
    </row>
    <row r="895">
      <c r="B895" s="86"/>
    </row>
    <row r="896">
      <c r="B896" s="86"/>
    </row>
    <row r="897">
      <c r="B897" s="86"/>
    </row>
    <row r="898">
      <c r="B898" s="86"/>
    </row>
    <row r="899">
      <c r="B899" s="86"/>
    </row>
    <row r="900">
      <c r="B900" s="86"/>
    </row>
    <row r="901">
      <c r="B901" s="86"/>
    </row>
    <row r="902">
      <c r="B902" s="86"/>
    </row>
    <row r="903">
      <c r="B903" s="86"/>
    </row>
    <row r="904">
      <c r="B904" s="86"/>
    </row>
    <row r="905">
      <c r="B905" s="86"/>
    </row>
    <row r="906">
      <c r="B906" s="86"/>
    </row>
    <row r="907">
      <c r="B907" s="86"/>
    </row>
    <row r="908">
      <c r="B908" s="86"/>
    </row>
    <row r="909">
      <c r="B909" s="86"/>
    </row>
    <row r="910">
      <c r="B910" s="86"/>
    </row>
    <row r="911">
      <c r="B911" s="86"/>
    </row>
    <row r="912">
      <c r="B912" s="86"/>
    </row>
    <row r="913">
      <c r="B913" s="86"/>
    </row>
    <row r="914">
      <c r="B914" s="86"/>
    </row>
    <row r="915">
      <c r="B915" s="86"/>
    </row>
    <row r="916">
      <c r="B916" s="86"/>
    </row>
    <row r="917">
      <c r="B917" s="86"/>
    </row>
    <row r="918">
      <c r="B918" s="86"/>
    </row>
    <row r="919">
      <c r="B919" s="86"/>
    </row>
    <row r="920">
      <c r="B920" s="86"/>
    </row>
    <row r="921">
      <c r="B921" s="86"/>
    </row>
    <row r="922">
      <c r="B922" s="86"/>
    </row>
    <row r="923">
      <c r="B923" s="86"/>
    </row>
    <row r="924">
      <c r="B924" s="86"/>
    </row>
    <row r="925">
      <c r="B925" s="86"/>
    </row>
    <row r="926">
      <c r="B926" s="86"/>
    </row>
    <row r="927">
      <c r="B927" s="86"/>
    </row>
    <row r="928">
      <c r="B928" s="86"/>
    </row>
    <row r="929">
      <c r="B929" s="86"/>
    </row>
    <row r="930">
      <c r="B930" s="86"/>
    </row>
    <row r="931">
      <c r="B931" s="86"/>
    </row>
    <row r="932">
      <c r="B932" s="86"/>
    </row>
    <row r="933">
      <c r="B933" s="86"/>
    </row>
    <row r="934">
      <c r="B934" s="86"/>
    </row>
    <row r="935">
      <c r="B935" s="86"/>
    </row>
    <row r="936">
      <c r="B936" s="86"/>
    </row>
    <row r="937">
      <c r="B937" s="86"/>
    </row>
    <row r="938">
      <c r="B938" s="86"/>
    </row>
    <row r="939">
      <c r="B939" s="86"/>
    </row>
    <row r="940">
      <c r="B940" s="86"/>
    </row>
    <row r="941">
      <c r="B941" s="86"/>
    </row>
    <row r="942">
      <c r="B942" s="86"/>
    </row>
    <row r="943">
      <c r="B943" s="86"/>
    </row>
    <row r="944">
      <c r="B944" s="86"/>
    </row>
    <row r="945">
      <c r="B945" s="86"/>
    </row>
    <row r="946">
      <c r="B946" s="86"/>
    </row>
    <row r="947">
      <c r="B947" s="86"/>
    </row>
    <row r="948">
      <c r="B948" s="86"/>
    </row>
    <row r="949">
      <c r="B949" s="86"/>
    </row>
    <row r="950">
      <c r="B950" s="86"/>
    </row>
    <row r="951">
      <c r="B951" s="86"/>
    </row>
    <row r="952">
      <c r="B952" s="86"/>
    </row>
    <row r="953">
      <c r="B953" s="86"/>
    </row>
    <row r="954">
      <c r="B954" s="86"/>
    </row>
    <row r="955">
      <c r="B955" s="86"/>
    </row>
    <row r="956">
      <c r="B956" s="86"/>
    </row>
    <row r="957">
      <c r="B957" s="86"/>
    </row>
    <row r="958">
      <c r="B958" s="86"/>
    </row>
    <row r="959">
      <c r="B959" s="86"/>
    </row>
    <row r="960">
      <c r="B960" s="86"/>
    </row>
    <row r="961">
      <c r="B961" s="86"/>
    </row>
    <row r="962">
      <c r="B962" s="86"/>
    </row>
    <row r="963">
      <c r="B963" s="86"/>
    </row>
    <row r="964">
      <c r="B964" s="86"/>
    </row>
    <row r="965">
      <c r="B965" s="86"/>
    </row>
    <row r="966">
      <c r="B966" s="86"/>
    </row>
    <row r="967">
      <c r="B967" s="86"/>
    </row>
    <row r="968">
      <c r="B968" s="86"/>
    </row>
    <row r="969">
      <c r="B969" s="86"/>
    </row>
    <row r="970">
      <c r="B970" s="86"/>
    </row>
    <row r="971">
      <c r="B971" s="86"/>
    </row>
    <row r="972">
      <c r="B972" s="86"/>
    </row>
    <row r="973">
      <c r="B973" s="86"/>
    </row>
    <row r="974">
      <c r="B974" s="86"/>
    </row>
    <row r="975">
      <c r="B975" s="86"/>
    </row>
    <row r="976">
      <c r="B976" s="86"/>
    </row>
    <row r="977">
      <c r="B977" s="86"/>
    </row>
    <row r="978">
      <c r="B978" s="86"/>
    </row>
    <row r="979">
      <c r="B979" s="86"/>
    </row>
    <row r="980">
      <c r="B980" s="86"/>
    </row>
    <row r="981">
      <c r="B981" s="86"/>
    </row>
    <row r="982">
      <c r="B982" s="86"/>
    </row>
    <row r="983">
      <c r="B983" s="86"/>
    </row>
    <row r="984">
      <c r="B984" s="86"/>
    </row>
    <row r="985">
      <c r="B985" s="86"/>
    </row>
    <row r="986">
      <c r="B986" s="86"/>
    </row>
    <row r="987">
      <c r="B987" s="86"/>
    </row>
    <row r="988">
      <c r="B988" s="86"/>
    </row>
    <row r="989">
      <c r="B989" s="86"/>
    </row>
    <row r="990">
      <c r="B990" s="86"/>
    </row>
    <row r="991">
      <c r="B991" s="86"/>
    </row>
    <row r="992">
      <c r="B992" s="86"/>
    </row>
    <row r="993">
      <c r="B993" s="86"/>
    </row>
    <row r="994">
      <c r="B994" s="86"/>
    </row>
    <row r="995">
      <c r="B995" s="86"/>
    </row>
    <row r="996">
      <c r="B996" s="86"/>
    </row>
    <row r="997">
      <c r="B997" s="86"/>
    </row>
  </sheetData>
  <hyperlinks>
    <hyperlink r:id="rId1" location="gid=959807356" ref="H6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41.0"/>
    <col customWidth="1" min="2" max="2" width="12.88"/>
    <col customWidth="1" min="3" max="3" width="33.75"/>
    <col customWidth="1" min="5" max="6" width="33.63"/>
    <col customWidth="1" min="7" max="7" width="19.13"/>
    <col customWidth="1" min="8" max="8" width="31.38"/>
    <col customWidth="1" min="9" max="9" width="21.5"/>
    <col customWidth="1" min="10" max="11" width="26.25"/>
  </cols>
  <sheetData>
    <row r="1">
      <c r="A1" s="87" t="s">
        <v>316</v>
      </c>
      <c r="B1" s="87" t="s">
        <v>117</v>
      </c>
      <c r="C1" s="69" t="s">
        <v>238</v>
      </c>
      <c r="D1" s="69" t="s">
        <v>317</v>
      </c>
      <c r="E1" s="69" t="s">
        <v>318</v>
      </c>
      <c r="F1" s="69" t="s">
        <v>24</v>
      </c>
      <c r="G1" s="69" t="s">
        <v>317</v>
      </c>
      <c r="H1" s="69" t="s">
        <v>319</v>
      </c>
      <c r="I1" s="69" t="s">
        <v>317</v>
      </c>
      <c r="J1" s="69" t="s">
        <v>320</v>
      </c>
      <c r="K1" s="69" t="s">
        <v>317</v>
      </c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</row>
    <row r="2">
      <c r="B2" s="89" t="s">
        <v>128</v>
      </c>
      <c r="C2" s="54" t="s">
        <v>321</v>
      </c>
      <c r="D2" s="54" t="s">
        <v>322</v>
      </c>
      <c r="E2" s="90" t="s">
        <v>130</v>
      </c>
      <c r="F2" s="91" t="s">
        <v>130</v>
      </c>
      <c r="H2" s="54" t="s">
        <v>323</v>
      </c>
      <c r="I2" s="54"/>
      <c r="J2" s="54" t="s">
        <v>323</v>
      </c>
      <c r="K2" s="54"/>
    </row>
    <row r="3">
      <c r="A3" s="92" t="s">
        <v>324</v>
      </c>
      <c r="B3" s="89" t="s">
        <v>128</v>
      </c>
      <c r="C3" s="54" t="s">
        <v>325</v>
      </c>
      <c r="E3" s="93" t="s">
        <v>326</v>
      </c>
      <c r="F3" s="93" t="s">
        <v>135</v>
      </c>
    </row>
    <row r="4">
      <c r="B4" s="89" t="s">
        <v>128</v>
      </c>
      <c r="C4" s="54" t="s">
        <v>327</v>
      </c>
      <c r="E4" s="54" t="s">
        <v>328</v>
      </c>
      <c r="F4" s="54" t="s">
        <v>329</v>
      </c>
    </row>
    <row r="5">
      <c r="B5" s="89" t="s">
        <v>128</v>
      </c>
      <c r="C5" s="54" t="s">
        <v>330</v>
      </c>
      <c r="E5" s="54" t="s">
        <v>331</v>
      </c>
      <c r="F5" s="94" t="s">
        <v>332</v>
      </c>
    </row>
    <row r="6">
      <c r="A6" s="95" t="s">
        <v>333</v>
      </c>
      <c r="B6" s="89" t="s">
        <v>128</v>
      </c>
      <c r="C6" s="54" t="s">
        <v>334</v>
      </c>
      <c r="E6" s="54" t="s">
        <v>335</v>
      </c>
      <c r="F6" s="54" t="s">
        <v>335</v>
      </c>
    </row>
    <row r="7">
      <c r="B7" s="89" t="s">
        <v>128</v>
      </c>
      <c r="C7" s="54" t="s">
        <v>336</v>
      </c>
      <c r="E7" s="54" t="s">
        <v>337</v>
      </c>
      <c r="F7" s="54" t="s">
        <v>337</v>
      </c>
    </row>
    <row r="8">
      <c r="A8" s="92" t="s">
        <v>239</v>
      </c>
      <c r="B8" s="96" t="s">
        <v>128</v>
      </c>
      <c r="E8" s="97" t="s">
        <v>172</v>
      </c>
      <c r="F8" s="54" t="s">
        <v>172</v>
      </c>
    </row>
    <row r="9">
      <c r="A9" s="92" t="s">
        <v>338</v>
      </c>
      <c r="B9" s="89" t="s">
        <v>128</v>
      </c>
      <c r="E9" s="54" t="s">
        <v>339</v>
      </c>
      <c r="F9" s="54" t="s">
        <v>339</v>
      </c>
    </row>
    <row r="10">
      <c r="A10" s="92" t="s">
        <v>258</v>
      </c>
      <c r="B10" s="89" t="s">
        <v>128</v>
      </c>
      <c r="E10" s="54" t="s">
        <v>340</v>
      </c>
    </row>
    <row r="11">
      <c r="A11" s="92" t="s">
        <v>266</v>
      </c>
      <c r="B11" s="89" t="s">
        <v>128</v>
      </c>
      <c r="E11" s="54" t="s">
        <v>341</v>
      </c>
    </row>
    <row r="12">
      <c r="A12" s="98" t="s">
        <v>342</v>
      </c>
      <c r="B12" s="96" t="s">
        <v>128</v>
      </c>
      <c r="E12" s="54" t="s">
        <v>343</v>
      </c>
    </row>
    <row r="13">
      <c r="A13" s="92" t="s">
        <v>289</v>
      </c>
      <c r="B13" s="89" t="s">
        <v>128</v>
      </c>
      <c r="E13" s="54" t="s">
        <v>344</v>
      </c>
    </row>
    <row r="14">
      <c r="A14" s="99" t="s">
        <v>345</v>
      </c>
      <c r="B14" s="100"/>
      <c r="E14" s="54" t="s">
        <v>346</v>
      </c>
    </row>
    <row r="15">
      <c r="A15" s="101" t="s">
        <v>347</v>
      </c>
      <c r="B15" s="100"/>
      <c r="E15" s="93" t="s">
        <v>136</v>
      </c>
    </row>
    <row r="16">
      <c r="A16" s="101" t="s">
        <v>348</v>
      </c>
      <c r="B16" s="100"/>
      <c r="E16" s="54" t="s">
        <v>349</v>
      </c>
    </row>
    <row r="17">
      <c r="A17" s="101" t="s">
        <v>350</v>
      </c>
      <c r="E17" s="54" t="s">
        <v>351</v>
      </c>
    </row>
    <row r="18">
      <c r="A18" s="101" t="s">
        <v>352</v>
      </c>
      <c r="B18" s="100"/>
    </row>
    <row r="19">
      <c r="A19" s="102" t="s">
        <v>249</v>
      </c>
      <c r="B19" s="103" t="s">
        <v>128</v>
      </c>
    </row>
    <row r="20">
      <c r="A20" s="100" t="s">
        <v>353</v>
      </c>
      <c r="B20" s="90" t="s">
        <v>124</v>
      </c>
    </row>
    <row r="21">
      <c r="A21" s="100" t="s">
        <v>354</v>
      </c>
      <c r="B21" s="90" t="s">
        <v>124</v>
      </c>
      <c r="E21" s="73"/>
      <c r="F21" s="104" t="s">
        <v>355</v>
      </c>
    </row>
    <row r="22">
      <c r="A22" s="100" t="s">
        <v>356</v>
      </c>
      <c r="B22" s="90" t="s">
        <v>124</v>
      </c>
    </row>
    <row r="23">
      <c r="A23" s="99" t="s">
        <v>324</v>
      </c>
      <c r="B23" s="100" t="s">
        <v>124</v>
      </c>
    </row>
    <row r="24">
      <c r="A24" s="99" t="s">
        <v>357</v>
      </c>
      <c r="B24" s="100" t="s">
        <v>124</v>
      </c>
    </row>
    <row r="25">
      <c r="A25" s="99" t="s">
        <v>358</v>
      </c>
      <c r="B25" s="105"/>
    </row>
    <row r="26">
      <c r="A26" s="100" t="s">
        <v>359</v>
      </c>
      <c r="B26" s="105"/>
    </row>
    <row r="27">
      <c r="A27" s="99" t="s">
        <v>360</v>
      </c>
      <c r="B27" s="105"/>
    </row>
    <row r="28">
      <c r="A28" s="99" t="s">
        <v>361</v>
      </c>
      <c r="B28" s="103" t="s">
        <v>128</v>
      </c>
    </row>
    <row r="29">
      <c r="A29" s="99" t="s">
        <v>258</v>
      </c>
      <c r="B29" s="106" t="s">
        <v>124</v>
      </c>
    </row>
    <row r="30">
      <c r="A30" s="102" t="s">
        <v>362</v>
      </c>
      <c r="B30" s="90" t="s">
        <v>124</v>
      </c>
    </row>
    <row r="31">
      <c r="A31" s="102" t="s">
        <v>363</v>
      </c>
      <c r="B31" s="105"/>
    </row>
    <row r="32">
      <c r="A32" s="102" t="s">
        <v>266</v>
      </c>
      <c r="B32" s="105"/>
    </row>
    <row r="33">
      <c r="A33" s="102" t="s">
        <v>364</v>
      </c>
      <c r="B33" s="90" t="s">
        <v>124</v>
      </c>
    </row>
    <row r="34">
      <c r="A34" s="102" t="s">
        <v>365</v>
      </c>
      <c r="B34" s="90" t="s">
        <v>124</v>
      </c>
    </row>
    <row r="35">
      <c r="A35" s="102" t="s">
        <v>366</v>
      </c>
      <c r="B35" s="103" t="s">
        <v>128</v>
      </c>
    </row>
    <row r="36">
      <c r="A36" s="102" t="s">
        <v>367</v>
      </c>
      <c r="B36" s="100" t="s">
        <v>124</v>
      </c>
    </row>
    <row r="37">
      <c r="A37" s="102" t="s">
        <v>130</v>
      </c>
      <c r="B37" s="90" t="s">
        <v>124</v>
      </c>
    </row>
    <row r="38">
      <c r="A38" s="102" t="s">
        <v>368</v>
      </c>
      <c r="B38" s="103" t="s">
        <v>128</v>
      </c>
    </row>
    <row r="39">
      <c r="A39" s="102" t="s">
        <v>278</v>
      </c>
      <c r="B39" s="100" t="s">
        <v>124</v>
      </c>
    </row>
    <row r="40">
      <c r="A40" s="105"/>
      <c r="B40" s="90" t="s">
        <v>124</v>
      </c>
    </row>
    <row r="41">
      <c r="A41" s="105"/>
      <c r="B41" s="100" t="s">
        <v>124</v>
      </c>
    </row>
    <row r="42">
      <c r="A42" s="105"/>
      <c r="B42" s="90" t="s">
        <v>124</v>
      </c>
    </row>
    <row r="43">
      <c r="A43" s="107" t="s">
        <v>369</v>
      </c>
      <c r="B43" s="100" t="s">
        <v>124</v>
      </c>
    </row>
    <row r="44">
      <c r="A44" s="92" t="s">
        <v>286</v>
      </c>
      <c r="B44" s="100" t="s">
        <v>124</v>
      </c>
    </row>
    <row r="45">
      <c r="A45" s="108" t="s">
        <v>342</v>
      </c>
      <c r="B45" s="100" t="s">
        <v>124</v>
      </c>
    </row>
    <row r="46">
      <c r="A46" s="99" t="s">
        <v>370</v>
      </c>
      <c r="B46" s="109"/>
    </row>
    <row r="47">
      <c r="A47" s="99" t="s">
        <v>347</v>
      </c>
      <c r="B47" s="109"/>
    </row>
    <row r="48">
      <c r="A48" s="99" t="s">
        <v>348</v>
      </c>
      <c r="B48" s="109"/>
    </row>
    <row r="49">
      <c r="A49" s="99" t="s">
        <v>350</v>
      </c>
      <c r="B49" s="89" t="s">
        <v>128</v>
      </c>
    </row>
    <row r="50">
      <c r="A50" s="99" t="s">
        <v>352</v>
      </c>
      <c r="B50" s="110"/>
    </row>
    <row r="51">
      <c r="A51" s="99" t="s">
        <v>286</v>
      </c>
      <c r="B51" s="103" t="s">
        <v>128</v>
      </c>
    </row>
    <row r="52">
      <c r="A52" s="99" t="s">
        <v>289</v>
      </c>
      <c r="B52" s="90" t="s">
        <v>128</v>
      </c>
    </row>
    <row r="53">
      <c r="A53" s="111" t="s">
        <v>371</v>
      </c>
      <c r="B53" s="90" t="s">
        <v>124</v>
      </c>
    </row>
    <row r="54">
      <c r="A54" s="102" t="s">
        <v>301</v>
      </c>
      <c r="B54" s="90" t="s">
        <v>124</v>
      </c>
    </row>
    <row r="55">
      <c r="A55" s="111" t="s">
        <v>307</v>
      </c>
      <c r="B55" s="90" t="s">
        <v>124</v>
      </c>
    </row>
    <row r="56">
      <c r="A56" s="102" t="s">
        <v>297</v>
      </c>
      <c r="B56" s="100" t="s">
        <v>124</v>
      </c>
    </row>
    <row r="57">
      <c r="A57" s="102" t="s">
        <v>299</v>
      </c>
      <c r="B57" s="103" t="s">
        <v>128</v>
      </c>
    </row>
    <row r="58">
      <c r="A58" s="111" t="s">
        <v>309</v>
      </c>
      <c r="B58" s="103" t="s">
        <v>128</v>
      </c>
    </row>
    <row r="59">
      <c r="A59" s="102" t="s">
        <v>311</v>
      </c>
      <c r="B59" s="112" t="s">
        <v>128</v>
      </c>
    </row>
    <row r="60">
      <c r="A60" s="102" t="s">
        <v>313</v>
      </c>
      <c r="B60" s="100" t="s">
        <v>124</v>
      </c>
    </row>
    <row r="61">
      <c r="A61" s="102" t="s">
        <v>372</v>
      </c>
      <c r="B61" s="100" t="s">
        <v>124</v>
      </c>
    </row>
    <row r="62">
      <c r="A62" s="113" t="s">
        <v>373</v>
      </c>
      <c r="B62" s="100" t="s">
        <v>124</v>
      </c>
    </row>
    <row r="63">
      <c r="A63" s="114" t="s">
        <v>333</v>
      </c>
      <c r="B63" s="100" t="s">
        <v>124</v>
      </c>
    </row>
    <row r="64">
      <c r="A64" s="109"/>
      <c r="B64" s="100" t="s">
        <v>124</v>
      </c>
    </row>
    <row r="65">
      <c r="A65" s="109"/>
      <c r="B65" s="100" t="s">
        <v>124</v>
      </c>
    </row>
    <row r="66">
      <c r="A66" s="109"/>
      <c r="B66" s="100" t="s">
        <v>124</v>
      </c>
    </row>
    <row r="67">
      <c r="A67" s="109"/>
      <c r="B67" s="100" t="s">
        <v>124</v>
      </c>
    </row>
    <row r="68">
      <c r="A68" s="105"/>
      <c r="B68" s="109"/>
    </row>
    <row r="69">
      <c r="A69" s="115" t="s">
        <v>374</v>
      </c>
      <c r="B69" s="100"/>
    </row>
    <row r="70">
      <c r="A70" s="109"/>
      <c r="B70" s="100"/>
    </row>
    <row r="71">
      <c r="A71" s="108" t="s">
        <v>375</v>
      </c>
      <c r="B71" s="100"/>
    </row>
    <row r="72">
      <c r="A72" s="116" t="s">
        <v>370</v>
      </c>
      <c r="B72" s="100"/>
    </row>
    <row r="73">
      <c r="A73" s="116" t="s">
        <v>347</v>
      </c>
      <c r="B73" s="100"/>
    </row>
    <row r="74">
      <c r="A74" s="116" t="s">
        <v>348</v>
      </c>
      <c r="B74" s="109"/>
    </row>
    <row r="75">
      <c r="A75" s="116" t="s">
        <v>350</v>
      </c>
      <c r="B75" s="107" t="s">
        <v>124</v>
      </c>
    </row>
    <row r="76">
      <c r="A76" s="116" t="s">
        <v>352</v>
      </c>
      <c r="B76" s="109"/>
    </row>
    <row r="77">
      <c r="A77" s="116" t="s">
        <v>286</v>
      </c>
      <c r="B77" s="109"/>
    </row>
    <row r="78">
      <c r="A78" s="116" t="s">
        <v>289</v>
      </c>
      <c r="B78" s="103" t="s">
        <v>128</v>
      </c>
    </row>
    <row r="79">
      <c r="A79" s="100" t="s">
        <v>371</v>
      </c>
      <c r="B79" s="100" t="s">
        <v>124</v>
      </c>
    </row>
    <row r="80">
      <c r="A80" s="117" t="s">
        <v>376</v>
      </c>
      <c r="B80" s="100" t="s">
        <v>124</v>
      </c>
    </row>
    <row r="81">
      <c r="A81" s="100" t="s">
        <v>301</v>
      </c>
      <c r="B81" s="100" t="s">
        <v>124</v>
      </c>
    </row>
    <row r="82">
      <c r="A82" s="100" t="s">
        <v>307</v>
      </c>
      <c r="B82" s="100" t="s">
        <v>124</v>
      </c>
    </row>
    <row r="83">
      <c r="A83" s="100" t="s">
        <v>297</v>
      </c>
      <c r="B83" s="103" t="s">
        <v>128</v>
      </c>
    </row>
    <row r="84">
      <c r="A84" s="100" t="s">
        <v>299</v>
      </c>
      <c r="B84" s="103" t="s">
        <v>128</v>
      </c>
    </row>
    <row r="85">
      <c r="A85" s="100" t="s">
        <v>309</v>
      </c>
      <c r="B85" s="103" t="s">
        <v>128</v>
      </c>
    </row>
    <row r="86">
      <c r="A86" s="100" t="s">
        <v>311</v>
      </c>
      <c r="B86" s="118" t="s">
        <v>128</v>
      </c>
    </row>
    <row r="87">
      <c r="A87" s="100" t="s">
        <v>313</v>
      </c>
      <c r="B87" s="100" t="s">
        <v>124</v>
      </c>
    </row>
    <row r="88">
      <c r="A88" s="100" t="s">
        <v>372</v>
      </c>
      <c r="B88" s="100" t="s">
        <v>124</v>
      </c>
    </row>
    <row r="89">
      <c r="A89" s="113" t="s">
        <v>373</v>
      </c>
      <c r="B89" s="100" t="s">
        <v>124</v>
      </c>
    </row>
    <row r="90">
      <c r="A90" s="105"/>
      <c r="B90" s="100" t="s">
        <v>124</v>
      </c>
    </row>
    <row r="91">
      <c r="A91" s="119" t="s">
        <v>377</v>
      </c>
      <c r="B91" s="100" t="s">
        <v>124</v>
      </c>
    </row>
    <row r="92">
      <c r="A92" s="116" t="s">
        <v>370</v>
      </c>
      <c r="B92" s="100" t="s">
        <v>124</v>
      </c>
    </row>
    <row r="93">
      <c r="A93" s="116" t="s">
        <v>347</v>
      </c>
      <c r="B93" s="100" t="s">
        <v>124</v>
      </c>
    </row>
    <row r="94">
      <c r="A94" s="116" t="s">
        <v>348</v>
      </c>
      <c r="B94" s="100" t="s">
        <v>124</v>
      </c>
    </row>
    <row r="95">
      <c r="A95" s="116" t="s">
        <v>350</v>
      </c>
      <c r="B95" s="109"/>
    </row>
    <row r="96">
      <c r="A96" s="116" t="s">
        <v>352</v>
      </c>
      <c r="B96" s="109"/>
    </row>
    <row r="97">
      <c r="A97" s="116" t="s">
        <v>286</v>
      </c>
      <c r="B97" s="109"/>
    </row>
    <row r="98">
      <c r="A98" s="116" t="s">
        <v>289</v>
      </c>
      <c r="B98" s="109"/>
    </row>
    <row r="99">
      <c r="A99" s="100" t="s">
        <v>371</v>
      </c>
      <c r="B99" s="109"/>
    </row>
    <row r="100">
      <c r="A100" s="117" t="s">
        <v>376</v>
      </c>
      <c r="B100" s="109"/>
    </row>
    <row r="101">
      <c r="A101" s="100" t="s">
        <v>301</v>
      </c>
      <c r="B101" s="109"/>
    </row>
    <row r="102">
      <c r="A102" s="100" t="s">
        <v>307</v>
      </c>
      <c r="B102" s="109"/>
    </row>
    <row r="103">
      <c r="A103" s="100" t="s">
        <v>297</v>
      </c>
      <c r="B103" s="109"/>
    </row>
    <row r="104">
      <c r="A104" s="100" t="s">
        <v>299</v>
      </c>
      <c r="B104" s="109"/>
    </row>
    <row r="105">
      <c r="A105" s="100" t="s">
        <v>309</v>
      </c>
      <c r="B105" s="109"/>
    </row>
    <row r="106">
      <c r="A106" s="100" t="s">
        <v>311</v>
      </c>
      <c r="B106" s="109"/>
    </row>
    <row r="107">
      <c r="A107" s="100" t="s">
        <v>313</v>
      </c>
      <c r="B107" s="109"/>
    </row>
    <row r="108">
      <c r="A108" s="100" t="s">
        <v>372</v>
      </c>
      <c r="B108" s="109"/>
    </row>
    <row r="109">
      <c r="A109" s="113" t="s">
        <v>373</v>
      </c>
      <c r="B109" s="109"/>
    </row>
    <row r="110">
      <c r="A110" s="105"/>
      <c r="B110" s="109"/>
    </row>
    <row r="111">
      <c r="A111" s="105"/>
      <c r="B111" s="109"/>
    </row>
    <row r="112">
      <c r="A112" s="105"/>
      <c r="B112" s="109"/>
    </row>
    <row r="113">
      <c r="A113" s="105"/>
      <c r="B113" s="109"/>
    </row>
    <row r="114">
      <c r="A114" s="105"/>
      <c r="B114" s="109"/>
    </row>
    <row r="115">
      <c r="A115" s="105"/>
      <c r="B115" s="109"/>
    </row>
    <row r="116">
      <c r="A116" s="105"/>
      <c r="B116" s="109"/>
    </row>
    <row r="117">
      <c r="A117" s="105"/>
      <c r="B117" s="109"/>
    </row>
    <row r="118">
      <c r="A118" s="105"/>
      <c r="B118" s="109"/>
    </row>
    <row r="119">
      <c r="A119" s="105"/>
      <c r="B119" s="109"/>
    </row>
    <row r="120">
      <c r="A120" s="105"/>
      <c r="B120" s="109"/>
    </row>
    <row r="121">
      <c r="A121" s="105"/>
      <c r="B121" s="109"/>
    </row>
    <row r="122">
      <c r="A122" s="105"/>
      <c r="B122" s="109"/>
    </row>
    <row r="123">
      <c r="A123" s="105"/>
      <c r="B123" s="109"/>
    </row>
    <row r="124">
      <c r="A124" s="105"/>
      <c r="B124" s="109"/>
    </row>
    <row r="125">
      <c r="A125" s="105"/>
      <c r="B125" s="109"/>
    </row>
    <row r="126">
      <c r="A126" s="105"/>
      <c r="B126" s="109"/>
    </row>
    <row r="127">
      <c r="A127" s="105"/>
      <c r="B127" s="109"/>
    </row>
    <row r="128">
      <c r="A128" s="105"/>
      <c r="B128" s="109"/>
    </row>
    <row r="129">
      <c r="A129" s="105"/>
      <c r="B129" s="109"/>
    </row>
    <row r="130">
      <c r="A130" s="105"/>
      <c r="B130" s="109"/>
    </row>
    <row r="131">
      <c r="A131" s="105"/>
      <c r="B131" s="109"/>
    </row>
    <row r="132">
      <c r="A132" s="105"/>
      <c r="B132" s="109"/>
    </row>
    <row r="133">
      <c r="A133" s="105"/>
      <c r="B133" s="109"/>
    </row>
    <row r="134">
      <c r="A134" s="105"/>
      <c r="B134" s="109"/>
    </row>
    <row r="135">
      <c r="A135" s="105"/>
      <c r="B135" s="109"/>
    </row>
    <row r="136">
      <c r="A136" s="105"/>
      <c r="B136" s="109"/>
    </row>
    <row r="137">
      <c r="A137" s="105"/>
      <c r="B137" s="109"/>
    </row>
    <row r="138">
      <c r="A138" s="105"/>
      <c r="B138" s="109"/>
    </row>
    <row r="139">
      <c r="A139" s="105"/>
      <c r="B139" s="109"/>
    </row>
    <row r="140">
      <c r="A140" s="105"/>
      <c r="B140" s="109"/>
    </row>
    <row r="141">
      <c r="A141" s="105"/>
      <c r="B141" s="109"/>
    </row>
    <row r="142">
      <c r="A142" s="105"/>
      <c r="B142" s="109"/>
    </row>
    <row r="143">
      <c r="A143" s="105"/>
      <c r="B143" s="109"/>
    </row>
    <row r="144">
      <c r="A144" s="105"/>
      <c r="B144" s="109"/>
    </row>
    <row r="145">
      <c r="A145" s="105"/>
      <c r="B145" s="109"/>
    </row>
    <row r="146">
      <c r="A146" s="105"/>
      <c r="B146" s="109"/>
    </row>
    <row r="147">
      <c r="A147" s="105"/>
      <c r="B147" s="109"/>
    </row>
    <row r="148">
      <c r="A148" s="109"/>
      <c r="B148" s="109"/>
    </row>
    <row r="149">
      <c r="A149" s="105"/>
      <c r="B149" s="109"/>
    </row>
    <row r="150">
      <c r="A150" s="109"/>
      <c r="B150" s="109"/>
    </row>
    <row r="151">
      <c r="A151" s="105"/>
      <c r="B151" s="109"/>
    </row>
    <row r="152">
      <c r="A152" s="105"/>
      <c r="B152" s="109"/>
    </row>
    <row r="153">
      <c r="A153" s="105"/>
      <c r="B153" s="109"/>
    </row>
    <row r="154">
      <c r="A154" s="105"/>
      <c r="B154" s="109"/>
    </row>
    <row r="155">
      <c r="A155" s="105"/>
      <c r="B155" s="109"/>
    </row>
    <row r="156">
      <c r="A156" s="105"/>
      <c r="B156" s="109"/>
    </row>
    <row r="157">
      <c r="A157" s="105"/>
      <c r="B157" s="109"/>
    </row>
    <row r="158">
      <c r="A158" s="105"/>
      <c r="B158" s="109"/>
    </row>
    <row r="159">
      <c r="A159" s="105"/>
      <c r="B159" s="109"/>
    </row>
    <row r="160">
      <c r="A160" s="105"/>
      <c r="B160" s="109"/>
    </row>
    <row r="161">
      <c r="A161" s="105"/>
      <c r="B161" s="109"/>
    </row>
    <row r="162">
      <c r="A162" s="105"/>
      <c r="B162" s="109"/>
    </row>
    <row r="163">
      <c r="A163" s="105"/>
      <c r="B163" s="109"/>
    </row>
    <row r="164">
      <c r="A164" s="105"/>
      <c r="B164" s="109"/>
    </row>
    <row r="165">
      <c r="A165" s="105"/>
      <c r="B165" s="109"/>
    </row>
    <row r="166">
      <c r="A166" s="105"/>
      <c r="B166" s="109"/>
    </row>
    <row r="167">
      <c r="A167" s="105"/>
      <c r="B167" s="109"/>
    </row>
    <row r="168">
      <c r="A168" s="105"/>
      <c r="B168" s="109"/>
    </row>
    <row r="169">
      <c r="A169" s="105"/>
      <c r="B169" s="109"/>
    </row>
    <row r="170">
      <c r="A170" s="109"/>
      <c r="B170" s="109"/>
    </row>
    <row r="171">
      <c r="A171" s="105"/>
      <c r="B171" s="109"/>
    </row>
    <row r="172">
      <c r="A172" s="105"/>
      <c r="B172" s="109"/>
    </row>
    <row r="173">
      <c r="A173" s="105"/>
      <c r="B173" s="109"/>
    </row>
    <row r="174">
      <c r="A174" s="105"/>
      <c r="B174" s="109"/>
    </row>
    <row r="175">
      <c r="A175" s="105"/>
      <c r="B175" s="109"/>
    </row>
    <row r="176">
      <c r="A176" s="105"/>
      <c r="B176" s="109"/>
    </row>
    <row r="177">
      <c r="A177" s="105"/>
      <c r="B177" s="109"/>
    </row>
    <row r="178">
      <c r="A178" s="105"/>
      <c r="B178" s="109"/>
    </row>
    <row r="179">
      <c r="A179" s="105"/>
      <c r="B179" s="109"/>
    </row>
    <row r="180">
      <c r="A180" s="105"/>
      <c r="B180" s="109"/>
    </row>
    <row r="181">
      <c r="A181" s="105"/>
      <c r="B181" s="109"/>
    </row>
    <row r="182">
      <c r="A182" s="105"/>
      <c r="B182" s="109"/>
    </row>
    <row r="183">
      <c r="A183" s="105"/>
      <c r="B183" s="109"/>
    </row>
    <row r="184">
      <c r="A184" s="105"/>
      <c r="B184" s="109"/>
    </row>
    <row r="185">
      <c r="A185" s="105"/>
      <c r="B185" s="109"/>
    </row>
    <row r="186">
      <c r="A186" s="105"/>
      <c r="B186" s="109"/>
    </row>
    <row r="187">
      <c r="A187" s="105"/>
      <c r="B187" s="109"/>
    </row>
    <row r="188">
      <c r="A188" s="105"/>
      <c r="B188" s="109"/>
    </row>
    <row r="189">
      <c r="A189" s="105"/>
      <c r="B189" s="109"/>
    </row>
    <row r="190">
      <c r="A190" s="105"/>
      <c r="B190" s="109"/>
    </row>
    <row r="191">
      <c r="A191" s="105"/>
      <c r="B191" s="109"/>
    </row>
    <row r="192">
      <c r="A192" s="105"/>
      <c r="B192" s="109"/>
    </row>
    <row r="193">
      <c r="A193" s="105"/>
      <c r="B193" s="109"/>
    </row>
    <row r="194">
      <c r="A194" s="105"/>
      <c r="B194" s="109"/>
    </row>
    <row r="195">
      <c r="A195" s="105"/>
      <c r="B195" s="109"/>
    </row>
    <row r="196">
      <c r="A196" s="105"/>
      <c r="B196" s="109"/>
    </row>
    <row r="197">
      <c r="A197" s="105"/>
      <c r="B197" s="109"/>
    </row>
    <row r="198">
      <c r="A198" s="105"/>
      <c r="B198" s="109"/>
    </row>
    <row r="199">
      <c r="A199" s="105"/>
      <c r="B199" s="109"/>
    </row>
    <row r="200">
      <c r="A200" s="105"/>
      <c r="B200" s="109"/>
    </row>
    <row r="201">
      <c r="A201" s="105"/>
      <c r="B201" s="109"/>
    </row>
    <row r="202">
      <c r="A202" s="105"/>
      <c r="B202" s="109"/>
    </row>
    <row r="203">
      <c r="A203" s="105"/>
      <c r="B203" s="109"/>
    </row>
    <row r="204">
      <c r="A204" s="105"/>
      <c r="B204" s="109"/>
    </row>
    <row r="205">
      <c r="A205" s="105"/>
      <c r="B205" s="109"/>
    </row>
    <row r="206">
      <c r="A206" s="105"/>
      <c r="B206" s="109"/>
    </row>
    <row r="207">
      <c r="A207" s="105"/>
      <c r="B207" s="109"/>
    </row>
    <row r="208">
      <c r="A208" s="105"/>
      <c r="B208" s="109"/>
    </row>
    <row r="209">
      <c r="A209" s="105"/>
      <c r="B209" s="109"/>
    </row>
    <row r="210">
      <c r="A210" s="105"/>
      <c r="B210" s="109"/>
    </row>
    <row r="211">
      <c r="A211" s="105"/>
      <c r="B211" s="109"/>
    </row>
    <row r="212">
      <c r="A212" s="105"/>
      <c r="B212" s="109"/>
    </row>
    <row r="213">
      <c r="A213" s="105"/>
      <c r="B213" s="109"/>
    </row>
    <row r="214">
      <c r="A214" s="105"/>
      <c r="B214" s="109"/>
    </row>
    <row r="215">
      <c r="A215" s="105"/>
      <c r="B215" s="109"/>
    </row>
    <row r="216">
      <c r="A216" s="105"/>
      <c r="B216" s="109"/>
    </row>
    <row r="217">
      <c r="A217" s="105"/>
      <c r="B217" s="109"/>
    </row>
    <row r="218">
      <c r="A218" s="105"/>
      <c r="B218" s="109"/>
    </row>
    <row r="219">
      <c r="A219" s="105"/>
      <c r="B219" s="109"/>
    </row>
    <row r="220">
      <c r="A220" s="105"/>
      <c r="B220" s="109"/>
    </row>
    <row r="221">
      <c r="A221" s="105"/>
      <c r="B221" s="109"/>
    </row>
    <row r="222">
      <c r="A222" s="105"/>
      <c r="B222" s="109"/>
    </row>
    <row r="223">
      <c r="A223" s="105"/>
      <c r="B223" s="109"/>
    </row>
    <row r="224">
      <c r="A224" s="105"/>
      <c r="B224" s="109"/>
    </row>
    <row r="225">
      <c r="A225" s="105"/>
      <c r="B225" s="109"/>
    </row>
    <row r="226">
      <c r="A226" s="105"/>
      <c r="B226" s="109"/>
    </row>
    <row r="227">
      <c r="A227" s="105"/>
      <c r="B227" s="109"/>
    </row>
    <row r="228">
      <c r="A228" s="105"/>
      <c r="B228" s="109"/>
    </row>
    <row r="229">
      <c r="A229" s="105"/>
      <c r="B229" s="109"/>
    </row>
    <row r="230">
      <c r="A230" s="105"/>
      <c r="B230" s="109"/>
    </row>
    <row r="231">
      <c r="A231" s="105"/>
      <c r="B231" s="109"/>
    </row>
    <row r="232">
      <c r="A232" s="105"/>
      <c r="B232" s="109"/>
    </row>
    <row r="233">
      <c r="A233" s="105"/>
      <c r="B233" s="109"/>
    </row>
    <row r="234">
      <c r="A234" s="105"/>
      <c r="B234" s="109"/>
    </row>
    <row r="235">
      <c r="A235" s="105"/>
      <c r="B235" s="109"/>
    </row>
    <row r="236">
      <c r="A236" s="105"/>
      <c r="B236" s="109"/>
    </row>
    <row r="237">
      <c r="A237" s="105"/>
      <c r="B237" s="109"/>
    </row>
    <row r="238">
      <c r="A238" s="105"/>
      <c r="B238" s="109"/>
    </row>
    <row r="239">
      <c r="A239" s="105"/>
      <c r="B239" s="109"/>
    </row>
    <row r="240">
      <c r="A240" s="105"/>
      <c r="B240" s="109"/>
    </row>
    <row r="241">
      <c r="A241" s="105"/>
      <c r="B241" s="109"/>
    </row>
    <row r="242">
      <c r="A242" s="105"/>
      <c r="B242" s="109"/>
    </row>
    <row r="243">
      <c r="A243" s="105"/>
      <c r="B243" s="109"/>
    </row>
    <row r="244">
      <c r="A244" s="105"/>
      <c r="B244" s="109"/>
    </row>
    <row r="245">
      <c r="A245" s="105"/>
      <c r="B245" s="109"/>
    </row>
    <row r="246">
      <c r="A246" s="105"/>
      <c r="B246" s="109"/>
    </row>
    <row r="247">
      <c r="A247" s="105"/>
      <c r="B247" s="109"/>
    </row>
    <row r="248">
      <c r="A248" s="105"/>
      <c r="B248" s="109"/>
    </row>
    <row r="249">
      <c r="A249" s="105"/>
      <c r="B249" s="109"/>
    </row>
    <row r="250">
      <c r="A250" s="105"/>
      <c r="B250" s="109"/>
    </row>
    <row r="251">
      <c r="A251" s="105"/>
      <c r="B251" s="109"/>
    </row>
    <row r="252">
      <c r="A252" s="105"/>
      <c r="B252" s="109"/>
    </row>
    <row r="253">
      <c r="A253" s="105"/>
      <c r="B253" s="109"/>
    </row>
    <row r="254">
      <c r="A254" s="105"/>
      <c r="B254" s="109"/>
    </row>
    <row r="255">
      <c r="A255" s="105"/>
      <c r="B255" s="109"/>
    </row>
    <row r="256">
      <c r="A256" s="105"/>
      <c r="B256" s="109"/>
    </row>
    <row r="257">
      <c r="A257" s="105"/>
      <c r="B257" s="109"/>
    </row>
    <row r="258">
      <c r="A258" s="105"/>
      <c r="B258" s="109"/>
    </row>
    <row r="259">
      <c r="A259" s="105"/>
      <c r="B259" s="109"/>
    </row>
    <row r="260">
      <c r="A260" s="105"/>
      <c r="B260" s="109"/>
    </row>
    <row r="261">
      <c r="A261" s="105"/>
      <c r="B261" s="109"/>
    </row>
    <row r="262">
      <c r="A262" s="105"/>
      <c r="B262" s="109"/>
    </row>
    <row r="263">
      <c r="A263" s="105"/>
      <c r="B263" s="109"/>
    </row>
    <row r="264">
      <c r="A264" s="105"/>
      <c r="B264" s="109"/>
    </row>
    <row r="265">
      <c r="A265" s="105"/>
      <c r="B265" s="109"/>
    </row>
    <row r="266">
      <c r="A266" s="105"/>
      <c r="B266" s="109"/>
    </row>
    <row r="267">
      <c r="A267" s="105"/>
      <c r="B267" s="109"/>
    </row>
    <row r="268">
      <c r="A268" s="105"/>
      <c r="B268" s="109"/>
    </row>
    <row r="269">
      <c r="A269" s="105"/>
      <c r="B269" s="109"/>
    </row>
    <row r="270">
      <c r="A270" s="105"/>
      <c r="B270" s="109"/>
    </row>
    <row r="271">
      <c r="A271" s="105"/>
      <c r="B271" s="109"/>
    </row>
    <row r="272">
      <c r="A272" s="105"/>
      <c r="B272" s="109"/>
    </row>
    <row r="273">
      <c r="A273" s="105"/>
      <c r="B273" s="109"/>
    </row>
    <row r="274">
      <c r="A274" s="105"/>
      <c r="B274" s="109"/>
    </row>
    <row r="275">
      <c r="A275" s="105"/>
      <c r="B275" s="109"/>
    </row>
    <row r="276">
      <c r="A276" s="105"/>
      <c r="B276" s="109"/>
    </row>
    <row r="277">
      <c r="A277" s="109"/>
      <c r="B277" s="109"/>
    </row>
    <row r="278">
      <c r="A278" s="109"/>
      <c r="B278" s="109"/>
    </row>
    <row r="279">
      <c r="A279" s="109"/>
      <c r="B279" s="109"/>
    </row>
    <row r="280">
      <c r="A280" s="105"/>
      <c r="B280" s="109"/>
    </row>
    <row r="281">
      <c r="A281" s="105"/>
      <c r="B281" s="109"/>
    </row>
    <row r="282">
      <c r="A282" s="105"/>
      <c r="B282" s="109"/>
    </row>
    <row r="283">
      <c r="A283" s="105"/>
      <c r="B283" s="109"/>
    </row>
    <row r="284">
      <c r="A284" s="105"/>
      <c r="B284" s="109"/>
    </row>
    <row r="285">
      <c r="A285" s="105"/>
      <c r="B285" s="109"/>
    </row>
    <row r="286">
      <c r="A286" s="109"/>
      <c r="B286" s="109"/>
    </row>
    <row r="287">
      <c r="A287" s="109"/>
      <c r="B287" s="109"/>
    </row>
    <row r="288">
      <c r="A288" s="109"/>
      <c r="B288" s="109"/>
    </row>
    <row r="289">
      <c r="A289" s="109"/>
      <c r="B289" s="109"/>
    </row>
    <row r="290">
      <c r="A290" s="109"/>
      <c r="B290" s="109"/>
    </row>
    <row r="291">
      <c r="A291" s="109"/>
      <c r="B291" s="109"/>
    </row>
    <row r="292">
      <c r="A292" s="109"/>
      <c r="B292" s="109"/>
    </row>
    <row r="293">
      <c r="A293" s="109"/>
      <c r="B293" s="109"/>
    </row>
    <row r="294">
      <c r="A294" s="109"/>
      <c r="B294" s="109"/>
    </row>
    <row r="295">
      <c r="A295" s="109"/>
      <c r="B295" s="109"/>
    </row>
    <row r="296">
      <c r="A296" s="109"/>
      <c r="B296" s="109"/>
    </row>
    <row r="297">
      <c r="A297" s="109"/>
      <c r="B297" s="109"/>
    </row>
    <row r="298">
      <c r="A298" s="109"/>
      <c r="B298" s="109"/>
    </row>
    <row r="299">
      <c r="A299" s="109"/>
      <c r="B299" s="109"/>
    </row>
    <row r="300">
      <c r="A300" s="109"/>
      <c r="B300" s="109"/>
    </row>
    <row r="301">
      <c r="A301" s="109"/>
      <c r="B301" s="109"/>
    </row>
    <row r="302">
      <c r="A302" s="109"/>
      <c r="B302" s="109"/>
    </row>
    <row r="303">
      <c r="A303" s="109"/>
      <c r="B303" s="109"/>
    </row>
    <row r="304">
      <c r="A304" s="109"/>
      <c r="B304" s="109"/>
    </row>
    <row r="305">
      <c r="A305" s="109"/>
      <c r="B305" s="109"/>
    </row>
    <row r="306">
      <c r="A306" s="109"/>
      <c r="B306" s="109"/>
    </row>
    <row r="307">
      <c r="A307" s="109"/>
      <c r="B307" s="109"/>
    </row>
    <row r="308">
      <c r="A308" s="109"/>
      <c r="B308" s="109"/>
    </row>
    <row r="309">
      <c r="A309" s="109"/>
      <c r="B309" s="109"/>
    </row>
    <row r="310">
      <c r="A310" s="109"/>
      <c r="B310" s="109"/>
    </row>
    <row r="311">
      <c r="A311" s="109"/>
      <c r="B311" s="109"/>
    </row>
    <row r="312">
      <c r="A312" s="109"/>
      <c r="B312" s="109"/>
    </row>
    <row r="313">
      <c r="A313" s="109"/>
      <c r="B313" s="109"/>
    </row>
    <row r="314">
      <c r="A314" s="109"/>
      <c r="B314" s="109"/>
    </row>
    <row r="315">
      <c r="A315" s="109"/>
      <c r="B315" s="109"/>
    </row>
    <row r="316">
      <c r="A316" s="109"/>
      <c r="B316" s="109"/>
    </row>
    <row r="317">
      <c r="A317" s="109"/>
      <c r="B317" s="109"/>
    </row>
    <row r="318">
      <c r="A318" s="109"/>
      <c r="B318" s="109"/>
    </row>
    <row r="319">
      <c r="A319" s="109"/>
      <c r="B319" s="109"/>
    </row>
    <row r="320">
      <c r="A320" s="109"/>
      <c r="B320" s="109"/>
    </row>
    <row r="321">
      <c r="A321" s="109"/>
      <c r="B321" s="109"/>
    </row>
    <row r="322">
      <c r="A322" s="109"/>
      <c r="B322" s="109"/>
    </row>
    <row r="323">
      <c r="A323" s="109"/>
      <c r="B323" s="109"/>
    </row>
    <row r="324">
      <c r="A324" s="109"/>
      <c r="B324" s="109"/>
    </row>
    <row r="325">
      <c r="A325" s="109"/>
      <c r="B325" s="109"/>
    </row>
    <row r="326">
      <c r="A326" s="109"/>
      <c r="B326" s="109"/>
    </row>
    <row r="327">
      <c r="A327" s="109"/>
      <c r="B327" s="109"/>
    </row>
    <row r="328">
      <c r="A328" s="109"/>
      <c r="B328" s="109"/>
    </row>
    <row r="329">
      <c r="A329" s="109"/>
      <c r="B329" s="109"/>
    </row>
    <row r="330">
      <c r="A330" s="109"/>
      <c r="B330" s="109"/>
    </row>
    <row r="331">
      <c r="A331" s="109"/>
      <c r="B331" s="109"/>
    </row>
    <row r="332">
      <c r="A332" s="109"/>
      <c r="B332" s="109"/>
    </row>
    <row r="333">
      <c r="A333" s="109"/>
      <c r="B333" s="109"/>
    </row>
    <row r="334">
      <c r="A334" s="109"/>
      <c r="B334" s="109"/>
    </row>
    <row r="335">
      <c r="A335" s="109"/>
      <c r="B335" s="109"/>
    </row>
    <row r="336">
      <c r="A336" s="109"/>
      <c r="B336" s="109"/>
    </row>
    <row r="337">
      <c r="A337" s="109"/>
      <c r="B337" s="109"/>
    </row>
    <row r="338">
      <c r="A338" s="109"/>
      <c r="B338" s="109"/>
    </row>
    <row r="339">
      <c r="A339" s="109"/>
      <c r="B339" s="109"/>
    </row>
    <row r="340">
      <c r="A340" s="109"/>
      <c r="B340" s="109"/>
    </row>
    <row r="341">
      <c r="A341" s="109"/>
      <c r="B341" s="109"/>
    </row>
    <row r="342">
      <c r="A342" s="109"/>
      <c r="B342" s="109"/>
    </row>
    <row r="343">
      <c r="A343" s="109"/>
      <c r="B343" s="109"/>
    </row>
    <row r="344">
      <c r="A344" s="109"/>
      <c r="B344" s="109"/>
    </row>
    <row r="345">
      <c r="A345" s="109"/>
      <c r="B345" s="109"/>
    </row>
    <row r="346">
      <c r="A346" s="109"/>
      <c r="B346" s="109"/>
    </row>
    <row r="347">
      <c r="A347" s="109"/>
      <c r="B347" s="109"/>
    </row>
    <row r="348">
      <c r="A348" s="109"/>
      <c r="B348" s="109"/>
    </row>
    <row r="349">
      <c r="A349" s="109"/>
      <c r="B349" s="109"/>
    </row>
    <row r="350">
      <c r="A350" s="109"/>
      <c r="B350" s="109"/>
    </row>
    <row r="351">
      <c r="A351" s="109"/>
      <c r="B351" s="109"/>
    </row>
    <row r="352">
      <c r="A352" s="109"/>
      <c r="B352" s="109"/>
    </row>
    <row r="353">
      <c r="A353" s="109"/>
      <c r="B353" s="109"/>
    </row>
    <row r="354">
      <c r="A354" s="109"/>
      <c r="B354" s="109"/>
    </row>
    <row r="355">
      <c r="A355" s="109"/>
      <c r="B355" s="109"/>
    </row>
    <row r="356">
      <c r="A356" s="109"/>
      <c r="B356" s="109"/>
    </row>
    <row r="357">
      <c r="A357" s="109"/>
      <c r="B357" s="109"/>
    </row>
    <row r="358">
      <c r="A358" s="109"/>
      <c r="B358" s="109"/>
    </row>
    <row r="359">
      <c r="A359" s="109"/>
      <c r="B359" s="109"/>
    </row>
    <row r="360">
      <c r="A360" s="109"/>
      <c r="B360" s="109"/>
    </row>
    <row r="361">
      <c r="A361" s="109"/>
      <c r="B361" s="109"/>
    </row>
    <row r="362">
      <c r="A362" s="109"/>
      <c r="B362" s="109"/>
    </row>
    <row r="363">
      <c r="A363" s="109"/>
      <c r="B363" s="109"/>
    </row>
    <row r="364">
      <c r="A364" s="109"/>
      <c r="B364" s="109"/>
    </row>
    <row r="365">
      <c r="A365" s="109"/>
      <c r="B365" s="109"/>
    </row>
    <row r="366">
      <c r="A366" s="109"/>
      <c r="B366" s="109"/>
    </row>
    <row r="367">
      <c r="A367" s="109"/>
      <c r="B367" s="109"/>
    </row>
    <row r="368">
      <c r="A368" s="109"/>
      <c r="B368" s="109"/>
    </row>
    <row r="369">
      <c r="A369" s="109"/>
      <c r="B369" s="109"/>
    </row>
    <row r="370">
      <c r="A370" s="109"/>
      <c r="B370" s="109"/>
    </row>
    <row r="371">
      <c r="A371" s="109"/>
      <c r="B371" s="109"/>
    </row>
    <row r="372">
      <c r="A372" s="109"/>
      <c r="B372" s="109"/>
    </row>
    <row r="373">
      <c r="A373" s="109"/>
      <c r="B373" s="109"/>
    </row>
    <row r="374">
      <c r="A374" s="109"/>
      <c r="B374" s="109"/>
    </row>
    <row r="375">
      <c r="A375" s="109"/>
      <c r="B375" s="109"/>
    </row>
    <row r="376">
      <c r="A376" s="109"/>
      <c r="B376" s="109"/>
    </row>
    <row r="377">
      <c r="A377" s="109"/>
      <c r="B377" s="109"/>
    </row>
    <row r="378">
      <c r="A378" s="109"/>
      <c r="B378" s="109"/>
    </row>
    <row r="379">
      <c r="A379" s="109"/>
      <c r="B379" s="109"/>
    </row>
    <row r="380">
      <c r="A380" s="109"/>
      <c r="B380" s="109"/>
    </row>
    <row r="381">
      <c r="A381" s="109"/>
      <c r="B381" s="109"/>
    </row>
    <row r="382">
      <c r="A382" s="109"/>
      <c r="B382" s="109"/>
    </row>
    <row r="383">
      <c r="A383" s="109"/>
      <c r="B383" s="109"/>
    </row>
    <row r="384">
      <c r="A384" s="109"/>
      <c r="B384" s="109"/>
    </row>
    <row r="385">
      <c r="A385" s="109"/>
      <c r="B385" s="109"/>
    </row>
    <row r="386">
      <c r="A386" s="109"/>
      <c r="B386" s="109"/>
    </row>
    <row r="387">
      <c r="A387" s="109"/>
      <c r="B387" s="109"/>
    </row>
    <row r="388">
      <c r="A388" s="109"/>
      <c r="B388" s="109"/>
    </row>
    <row r="389">
      <c r="A389" s="109"/>
      <c r="B389" s="109"/>
    </row>
    <row r="390">
      <c r="A390" s="109"/>
      <c r="B390" s="109"/>
    </row>
    <row r="391">
      <c r="A391" s="109"/>
      <c r="B391" s="109"/>
    </row>
    <row r="392">
      <c r="A392" s="109"/>
      <c r="B392" s="109"/>
    </row>
    <row r="393">
      <c r="A393" s="109"/>
      <c r="B393" s="109"/>
    </row>
    <row r="394">
      <c r="A394" s="109"/>
      <c r="B394" s="109"/>
    </row>
    <row r="395">
      <c r="A395" s="109"/>
      <c r="B395" s="109"/>
    </row>
    <row r="396">
      <c r="A396" s="109"/>
      <c r="B396" s="109"/>
    </row>
    <row r="397">
      <c r="A397" s="109"/>
      <c r="B397" s="109"/>
    </row>
    <row r="398">
      <c r="A398" s="109"/>
      <c r="B398" s="109"/>
    </row>
    <row r="399">
      <c r="A399" s="109"/>
      <c r="B399" s="109"/>
    </row>
    <row r="400">
      <c r="A400" s="109"/>
      <c r="B400" s="109"/>
    </row>
    <row r="401">
      <c r="A401" s="109"/>
      <c r="B401" s="109"/>
    </row>
    <row r="402">
      <c r="A402" s="109"/>
      <c r="B402" s="109"/>
    </row>
    <row r="403">
      <c r="A403" s="109"/>
      <c r="B403" s="109"/>
    </row>
    <row r="404">
      <c r="A404" s="109"/>
      <c r="B404" s="109"/>
    </row>
    <row r="405">
      <c r="A405" s="109"/>
      <c r="B405" s="109"/>
    </row>
    <row r="406">
      <c r="A406" s="109"/>
      <c r="B406" s="109"/>
    </row>
    <row r="407">
      <c r="A407" s="109"/>
      <c r="B407" s="109"/>
    </row>
    <row r="408">
      <c r="A408" s="109"/>
      <c r="B408" s="109"/>
    </row>
    <row r="409">
      <c r="A409" s="109"/>
      <c r="B409" s="109"/>
    </row>
    <row r="410">
      <c r="A410" s="109"/>
      <c r="B410" s="109"/>
    </row>
    <row r="411">
      <c r="A411" s="109"/>
      <c r="B411" s="109"/>
    </row>
    <row r="412">
      <c r="A412" s="109"/>
      <c r="B412" s="109"/>
    </row>
    <row r="413">
      <c r="A413" s="109"/>
      <c r="B413" s="109"/>
    </row>
    <row r="414">
      <c r="A414" s="109"/>
      <c r="B414" s="109"/>
    </row>
    <row r="415">
      <c r="A415" s="109"/>
      <c r="B415" s="109"/>
    </row>
    <row r="416">
      <c r="A416" s="109"/>
      <c r="B416" s="109"/>
    </row>
    <row r="417">
      <c r="A417" s="109"/>
      <c r="B417" s="109"/>
    </row>
    <row r="418">
      <c r="A418" s="109"/>
      <c r="B418" s="109"/>
    </row>
    <row r="419">
      <c r="A419" s="109"/>
      <c r="B419" s="109"/>
    </row>
    <row r="420">
      <c r="A420" s="109"/>
      <c r="B420" s="109"/>
    </row>
    <row r="421">
      <c r="A421" s="109"/>
      <c r="B421" s="109"/>
    </row>
    <row r="422">
      <c r="A422" s="109"/>
      <c r="B422" s="109"/>
    </row>
    <row r="423">
      <c r="A423" s="109"/>
      <c r="B423" s="109"/>
    </row>
    <row r="424">
      <c r="A424" s="109"/>
      <c r="B424" s="109"/>
    </row>
    <row r="425">
      <c r="A425" s="109"/>
      <c r="B425" s="109"/>
    </row>
    <row r="426">
      <c r="A426" s="109"/>
      <c r="B426" s="109"/>
    </row>
    <row r="427">
      <c r="A427" s="109"/>
      <c r="B427" s="109"/>
    </row>
    <row r="428">
      <c r="A428" s="109"/>
      <c r="B428" s="109"/>
    </row>
    <row r="429">
      <c r="A429" s="109"/>
      <c r="B429" s="109"/>
    </row>
    <row r="430">
      <c r="A430" s="109"/>
      <c r="B430" s="109"/>
    </row>
    <row r="431">
      <c r="A431" s="109"/>
      <c r="B431" s="109"/>
    </row>
    <row r="432">
      <c r="A432" s="109"/>
      <c r="B432" s="109"/>
    </row>
    <row r="433">
      <c r="A433" s="109"/>
      <c r="B433" s="109"/>
    </row>
    <row r="434">
      <c r="A434" s="109"/>
      <c r="B434" s="109"/>
    </row>
    <row r="435">
      <c r="A435" s="109"/>
      <c r="B435" s="109"/>
    </row>
    <row r="436">
      <c r="A436" s="109"/>
      <c r="B436" s="109"/>
    </row>
    <row r="437">
      <c r="A437" s="109"/>
      <c r="B437" s="109"/>
    </row>
    <row r="438">
      <c r="A438" s="109"/>
      <c r="B438" s="109"/>
    </row>
    <row r="439">
      <c r="A439" s="109"/>
      <c r="B439" s="109"/>
    </row>
    <row r="440">
      <c r="A440" s="109"/>
      <c r="B440" s="109"/>
    </row>
    <row r="441">
      <c r="A441" s="109"/>
      <c r="B441" s="109"/>
    </row>
    <row r="442">
      <c r="A442" s="109"/>
      <c r="B442" s="109"/>
    </row>
    <row r="443">
      <c r="A443" s="109"/>
      <c r="B443" s="109"/>
    </row>
    <row r="444">
      <c r="A444" s="109"/>
      <c r="B444" s="109"/>
    </row>
    <row r="445">
      <c r="A445" s="109"/>
      <c r="B445" s="109"/>
    </row>
    <row r="446">
      <c r="A446" s="109"/>
      <c r="B446" s="109"/>
    </row>
    <row r="447">
      <c r="A447" s="109"/>
      <c r="B447" s="109"/>
    </row>
    <row r="448">
      <c r="A448" s="109"/>
      <c r="B448" s="109"/>
    </row>
    <row r="449">
      <c r="A449" s="109"/>
      <c r="B449" s="109"/>
    </row>
    <row r="450">
      <c r="A450" s="109"/>
      <c r="B450" s="109"/>
    </row>
    <row r="451">
      <c r="A451" s="109"/>
      <c r="B451" s="109"/>
    </row>
    <row r="452">
      <c r="A452" s="109"/>
      <c r="B452" s="109"/>
    </row>
    <row r="453">
      <c r="A453" s="109"/>
      <c r="B453" s="109"/>
    </row>
    <row r="454">
      <c r="A454" s="109"/>
      <c r="B454" s="109"/>
    </row>
    <row r="455">
      <c r="A455" s="109"/>
      <c r="B455" s="109"/>
    </row>
    <row r="456">
      <c r="A456" s="109"/>
      <c r="B456" s="109"/>
    </row>
    <row r="457">
      <c r="A457" s="109"/>
      <c r="B457" s="109"/>
    </row>
    <row r="458">
      <c r="A458" s="109"/>
      <c r="B458" s="109"/>
    </row>
    <row r="459">
      <c r="A459" s="109"/>
      <c r="B459" s="109"/>
    </row>
    <row r="460">
      <c r="A460" s="109"/>
      <c r="B460" s="109"/>
    </row>
    <row r="461">
      <c r="A461" s="109"/>
      <c r="B461" s="109"/>
    </row>
    <row r="462">
      <c r="A462" s="109"/>
      <c r="B462" s="109"/>
    </row>
    <row r="463">
      <c r="A463" s="109"/>
      <c r="B463" s="109"/>
    </row>
    <row r="464">
      <c r="A464" s="109"/>
      <c r="B464" s="109"/>
    </row>
    <row r="465">
      <c r="A465" s="109"/>
      <c r="B465" s="109"/>
    </row>
    <row r="466">
      <c r="A466" s="109"/>
      <c r="B466" s="109"/>
    </row>
    <row r="467">
      <c r="A467" s="109"/>
      <c r="B467" s="109"/>
    </row>
    <row r="468">
      <c r="A468" s="109"/>
      <c r="B468" s="109"/>
    </row>
    <row r="469">
      <c r="A469" s="109"/>
      <c r="B469" s="109"/>
    </row>
    <row r="470">
      <c r="A470" s="109"/>
      <c r="B470" s="109"/>
    </row>
    <row r="471">
      <c r="A471" s="109"/>
      <c r="B471" s="109"/>
    </row>
    <row r="472">
      <c r="A472" s="109"/>
      <c r="B472" s="109"/>
    </row>
    <row r="473">
      <c r="A473" s="109"/>
      <c r="B473" s="109"/>
    </row>
    <row r="474">
      <c r="A474" s="109"/>
      <c r="B474" s="109"/>
    </row>
    <row r="475">
      <c r="A475" s="109"/>
      <c r="B475" s="109"/>
    </row>
    <row r="476">
      <c r="A476" s="109"/>
      <c r="B476" s="109"/>
    </row>
    <row r="477">
      <c r="A477" s="109"/>
      <c r="B477" s="109"/>
    </row>
    <row r="478">
      <c r="A478" s="109"/>
      <c r="B478" s="109"/>
    </row>
    <row r="479">
      <c r="A479" s="109"/>
      <c r="B479" s="109"/>
    </row>
    <row r="480">
      <c r="A480" s="109"/>
      <c r="B480" s="109"/>
    </row>
    <row r="481">
      <c r="A481" s="109"/>
      <c r="B481" s="109"/>
    </row>
    <row r="482">
      <c r="A482" s="109"/>
      <c r="B482" s="109"/>
    </row>
    <row r="483">
      <c r="A483" s="109"/>
      <c r="B483" s="109"/>
    </row>
    <row r="484">
      <c r="A484" s="109"/>
      <c r="B484" s="109"/>
    </row>
    <row r="485">
      <c r="A485" s="109"/>
      <c r="B485" s="109"/>
    </row>
    <row r="486">
      <c r="A486" s="109"/>
      <c r="B486" s="109"/>
    </row>
    <row r="487">
      <c r="A487" s="109"/>
      <c r="B487" s="109"/>
    </row>
    <row r="488">
      <c r="A488" s="109"/>
      <c r="B488" s="109"/>
    </row>
    <row r="489">
      <c r="A489" s="109"/>
      <c r="B489" s="109"/>
    </row>
    <row r="490">
      <c r="A490" s="109"/>
      <c r="B490" s="109"/>
    </row>
    <row r="491">
      <c r="A491" s="109"/>
      <c r="B491" s="109"/>
    </row>
    <row r="492">
      <c r="A492" s="109"/>
      <c r="B492" s="109"/>
    </row>
    <row r="493">
      <c r="A493" s="109"/>
      <c r="B493" s="109"/>
    </row>
    <row r="494">
      <c r="A494" s="109"/>
      <c r="B494" s="109"/>
    </row>
    <row r="495">
      <c r="A495" s="109"/>
      <c r="B495" s="109"/>
    </row>
    <row r="496">
      <c r="A496" s="109"/>
      <c r="B496" s="109"/>
    </row>
    <row r="497">
      <c r="A497" s="109"/>
      <c r="B497" s="109"/>
    </row>
    <row r="498">
      <c r="A498" s="109"/>
      <c r="B498" s="109"/>
    </row>
    <row r="499">
      <c r="A499" s="109"/>
      <c r="B499" s="109"/>
    </row>
    <row r="500">
      <c r="A500" s="109"/>
      <c r="B500" s="109"/>
    </row>
    <row r="501">
      <c r="A501" s="109"/>
      <c r="B501" s="109"/>
    </row>
    <row r="502">
      <c r="A502" s="109"/>
      <c r="B502" s="109"/>
    </row>
    <row r="503">
      <c r="A503" s="109"/>
      <c r="B503" s="109"/>
    </row>
    <row r="504">
      <c r="A504" s="109"/>
      <c r="B504" s="109"/>
    </row>
    <row r="505">
      <c r="A505" s="109"/>
      <c r="B505" s="109"/>
    </row>
    <row r="506">
      <c r="A506" s="109"/>
      <c r="B506" s="109"/>
    </row>
    <row r="507">
      <c r="A507" s="109"/>
      <c r="B507" s="109"/>
    </row>
    <row r="508">
      <c r="A508" s="109"/>
      <c r="B508" s="109"/>
    </row>
    <row r="509">
      <c r="A509" s="109"/>
      <c r="B509" s="109"/>
    </row>
    <row r="510">
      <c r="A510" s="109"/>
      <c r="B510" s="109"/>
    </row>
    <row r="511">
      <c r="A511" s="109"/>
      <c r="B511" s="109"/>
    </row>
    <row r="512">
      <c r="A512" s="109"/>
      <c r="B512" s="109"/>
    </row>
    <row r="513">
      <c r="A513" s="109"/>
      <c r="B513" s="109"/>
    </row>
    <row r="514">
      <c r="A514" s="109"/>
      <c r="B514" s="109"/>
    </row>
    <row r="515">
      <c r="A515" s="109"/>
      <c r="B515" s="109"/>
    </row>
    <row r="516">
      <c r="A516" s="109"/>
      <c r="B516" s="109"/>
    </row>
    <row r="517">
      <c r="A517" s="109"/>
      <c r="B517" s="109"/>
    </row>
    <row r="518">
      <c r="A518" s="109"/>
      <c r="B518" s="109"/>
    </row>
    <row r="519">
      <c r="A519" s="109"/>
      <c r="B519" s="109"/>
    </row>
    <row r="520">
      <c r="A520" s="109"/>
      <c r="B520" s="109"/>
    </row>
    <row r="521">
      <c r="A521" s="109"/>
      <c r="B521" s="109"/>
    </row>
    <row r="522">
      <c r="A522" s="109"/>
      <c r="B522" s="109"/>
    </row>
    <row r="523">
      <c r="A523" s="109"/>
      <c r="B523" s="109"/>
    </row>
    <row r="524">
      <c r="A524" s="109"/>
      <c r="B524" s="109"/>
    </row>
    <row r="525">
      <c r="A525" s="109"/>
      <c r="B525" s="109"/>
    </row>
    <row r="526">
      <c r="A526" s="109"/>
      <c r="B526" s="109"/>
    </row>
    <row r="527">
      <c r="A527" s="109"/>
      <c r="B527" s="109"/>
    </row>
    <row r="528">
      <c r="A528" s="109"/>
      <c r="B528" s="109"/>
    </row>
    <row r="529">
      <c r="A529" s="109"/>
      <c r="B529" s="109"/>
    </row>
    <row r="530">
      <c r="A530" s="109"/>
      <c r="B530" s="109"/>
    </row>
    <row r="531">
      <c r="A531" s="109"/>
      <c r="B531" s="109"/>
    </row>
    <row r="532">
      <c r="A532" s="109"/>
      <c r="B532" s="109"/>
    </row>
    <row r="533">
      <c r="A533" s="109"/>
      <c r="B533" s="109"/>
    </row>
    <row r="534">
      <c r="A534" s="109"/>
      <c r="B534" s="109"/>
    </row>
    <row r="535">
      <c r="A535" s="109"/>
      <c r="B535" s="109"/>
    </row>
    <row r="536">
      <c r="A536" s="109"/>
      <c r="B536" s="109"/>
    </row>
    <row r="537">
      <c r="A537" s="109"/>
      <c r="B537" s="109"/>
    </row>
    <row r="538">
      <c r="A538" s="109"/>
      <c r="B538" s="109"/>
    </row>
    <row r="539">
      <c r="A539" s="109"/>
      <c r="B539" s="109"/>
    </row>
    <row r="540">
      <c r="A540" s="109"/>
      <c r="B540" s="109"/>
    </row>
    <row r="541">
      <c r="A541" s="109"/>
      <c r="B541" s="109"/>
    </row>
    <row r="542">
      <c r="A542" s="109"/>
      <c r="B542" s="109"/>
    </row>
    <row r="543">
      <c r="A543" s="109"/>
      <c r="B543" s="109"/>
    </row>
    <row r="544">
      <c r="A544" s="109"/>
      <c r="B544" s="109"/>
    </row>
    <row r="545">
      <c r="A545" s="109"/>
      <c r="B545" s="109"/>
    </row>
    <row r="546">
      <c r="A546" s="109"/>
      <c r="B546" s="109"/>
    </row>
    <row r="547">
      <c r="A547" s="109"/>
      <c r="B547" s="109"/>
    </row>
    <row r="548">
      <c r="A548" s="109"/>
      <c r="B548" s="109"/>
    </row>
    <row r="549">
      <c r="A549" s="109"/>
      <c r="B549" s="109"/>
    </row>
    <row r="550">
      <c r="A550" s="109"/>
      <c r="B550" s="109"/>
    </row>
    <row r="551">
      <c r="A551" s="109"/>
      <c r="B551" s="109"/>
    </row>
    <row r="552">
      <c r="A552" s="109"/>
      <c r="B552" s="109"/>
    </row>
    <row r="553">
      <c r="A553" s="109"/>
      <c r="B553" s="109"/>
    </row>
    <row r="554">
      <c r="A554" s="109"/>
      <c r="B554" s="109"/>
    </row>
    <row r="555">
      <c r="A555" s="109"/>
      <c r="B555" s="109"/>
    </row>
    <row r="556">
      <c r="A556" s="109"/>
      <c r="B556" s="109"/>
    </row>
    <row r="557">
      <c r="A557" s="109"/>
      <c r="B557" s="109"/>
    </row>
    <row r="558">
      <c r="A558" s="109"/>
      <c r="B558" s="109"/>
    </row>
    <row r="559">
      <c r="A559" s="109"/>
      <c r="B559" s="109"/>
    </row>
    <row r="560">
      <c r="A560" s="109"/>
      <c r="B560" s="109"/>
    </row>
    <row r="561">
      <c r="A561" s="109"/>
      <c r="B561" s="109"/>
    </row>
    <row r="562">
      <c r="A562" s="109"/>
      <c r="B562" s="109"/>
    </row>
    <row r="563">
      <c r="A563" s="109"/>
      <c r="B563" s="109"/>
    </row>
    <row r="564">
      <c r="A564" s="109"/>
      <c r="B564" s="109"/>
    </row>
    <row r="565">
      <c r="A565" s="109"/>
      <c r="B565" s="109"/>
    </row>
    <row r="566">
      <c r="A566" s="109"/>
      <c r="B566" s="109"/>
    </row>
    <row r="567">
      <c r="A567" s="109"/>
      <c r="B567" s="109"/>
    </row>
    <row r="568">
      <c r="A568" s="109"/>
      <c r="B568" s="109"/>
    </row>
    <row r="569">
      <c r="A569" s="109"/>
      <c r="B569" s="109"/>
    </row>
    <row r="570">
      <c r="A570" s="109"/>
      <c r="B570" s="109"/>
    </row>
    <row r="571">
      <c r="A571" s="109"/>
      <c r="B571" s="109"/>
    </row>
    <row r="572">
      <c r="A572" s="109"/>
      <c r="B572" s="109"/>
    </row>
    <row r="573">
      <c r="A573" s="109"/>
      <c r="B573" s="109"/>
    </row>
    <row r="574">
      <c r="A574" s="109"/>
      <c r="B574" s="109"/>
    </row>
    <row r="575">
      <c r="A575" s="109"/>
      <c r="B575" s="109"/>
    </row>
    <row r="576">
      <c r="A576" s="109"/>
      <c r="B576" s="109"/>
    </row>
    <row r="577">
      <c r="A577" s="109"/>
      <c r="B577" s="109"/>
    </row>
    <row r="578">
      <c r="A578" s="109"/>
      <c r="B578" s="109"/>
    </row>
    <row r="579">
      <c r="A579" s="109"/>
      <c r="B579" s="109"/>
    </row>
    <row r="580">
      <c r="A580" s="109"/>
      <c r="B580" s="109"/>
    </row>
    <row r="581">
      <c r="A581" s="109"/>
      <c r="B581" s="109"/>
    </row>
    <row r="582">
      <c r="A582" s="109"/>
      <c r="B582" s="109"/>
    </row>
    <row r="583">
      <c r="A583" s="109"/>
      <c r="B583" s="109"/>
    </row>
    <row r="584">
      <c r="A584" s="109"/>
      <c r="B584" s="109"/>
    </row>
    <row r="585">
      <c r="A585" s="109"/>
      <c r="B585" s="109"/>
    </row>
    <row r="586">
      <c r="A586" s="109"/>
      <c r="B586" s="109"/>
    </row>
    <row r="587">
      <c r="A587" s="109"/>
      <c r="B587" s="109"/>
    </row>
    <row r="588">
      <c r="A588" s="109"/>
      <c r="B588" s="109"/>
    </row>
    <row r="589">
      <c r="A589" s="109"/>
      <c r="B589" s="109"/>
    </row>
    <row r="590">
      <c r="A590" s="109"/>
      <c r="B590" s="109"/>
    </row>
    <row r="591">
      <c r="A591" s="109"/>
      <c r="B591" s="109"/>
    </row>
    <row r="592">
      <c r="A592" s="109"/>
      <c r="B592" s="109"/>
    </row>
    <row r="593">
      <c r="A593" s="109"/>
      <c r="B593" s="109"/>
    </row>
    <row r="594">
      <c r="A594" s="109"/>
      <c r="B594" s="109"/>
    </row>
    <row r="595">
      <c r="A595" s="109"/>
      <c r="B595" s="109"/>
    </row>
    <row r="596">
      <c r="A596" s="109"/>
      <c r="B596" s="109"/>
    </row>
    <row r="597">
      <c r="A597" s="109"/>
      <c r="B597" s="109"/>
    </row>
    <row r="598">
      <c r="A598" s="109"/>
      <c r="B598" s="109"/>
    </row>
    <row r="599">
      <c r="A599" s="109"/>
      <c r="B599" s="109"/>
    </row>
    <row r="600">
      <c r="A600" s="109"/>
      <c r="B600" s="109"/>
    </row>
    <row r="601">
      <c r="A601" s="109"/>
      <c r="B601" s="109"/>
    </row>
    <row r="602">
      <c r="A602" s="109"/>
      <c r="B602" s="109"/>
    </row>
    <row r="603">
      <c r="A603" s="109"/>
      <c r="B603" s="109"/>
    </row>
    <row r="604">
      <c r="A604" s="109"/>
      <c r="B604" s="109"/>
    </row>
    <row r="605">
      <c r="A605" s="109"/>
      <c r="B605" s="109"/>
    </row>
    <row r="606">
      <c r="A606" s="109"/>
      <c r="B606" s="109"/>
    </row>
    <row r="607">
      <c r="A607" s="109"/>
      <c r="B607" s="109"/>
    </row>
    <row r="608">
      <c r="A608" s="109"/>
      <c r="B608" s="109"/>
    </row>
    <row r="609">
      <c r="A609" s="109"/>
      <c r="B609" s="109"/>
    </row>
    <row r="610">
      <c r="A610" s="109"/>
      <c r="B610" s="109"/>
    </row>
    <row r="611">
      <c r="A611" s="109"/>
      <c r="B611" s="109"/>
    </row>
    <row r="612">
      <c r="A612" s="109"/>
      <c r="B612" s="109"/>
    </row>
    <row r="613">
      <c r="A613" s="109"/>
      <c r="B613" s="109"/>
    </row>
    <row r="614">
      <c r="A614" s="109"/>
      <c r="B614" s="109"/>
    </row>
    <row r="615">
      <c r="A615" s="109"/>
      <c r="B615" s="109"/>
    </row>
    <row r="616">
      <c r="A616" s="109"/>
      <c r="B616" s="109"/>
    </row>
    <row r="617">
      <c r="A617" s="109"/>
      <c r="B617" s="109"/>
    </row>
    <row r="618">
      <c r="A618" s="109"/>
      <c r="B618" s="109"/>
    </row>
    <row r="619">
      <c r="A619" s="109"/>
      <c r="B619" s="109"/>
    </row>
    <row r="620">
      <c r="A620" s="109"/>
      <c r="B620" s="109"/>
    </row>
    <row r="621">
      <c r="A621" s="109"/>
      <c r="B621" s="109"/>
    </row>
    <row r="622">
      <c r="A622" s="109"/>
      <c r="B622" s="109"/>
    </row>
    <row r="623">
      <c r="A623" s="109"/>
      <c r="B623" s="109"/>
    </row>
    <row r="624">
      <c r="A624" s="109"/>
      <c r="B624" s="109"/>
    </row>
    <row r="625">
      <c r="A625" s="109"/>
      <c r="B625" s="109"/>
    </row>
    <row r="626">
      <c r="A626" s="109"/>
      <c r="B626" s="109"/>
    </row>
    <row r="627">
      <c r="A627" s="109"/>
      <c r="B627" s="109"/>
    </row>
    <row r="628">
      <c r="A628" s="109"/>
      <c r="B628" s="109"/>
    </row>
    <row r="629">
      <c r="A629" s="109"/>
      <c r="B629" s="109"/>
    </row>
    <row r="630">
      <c r="A630" s="109"/>
      <c r="B630" s="109"/>
    </row>
    <row r="631">
      <c r="A631" s="109"/>
      <c r="B631" s="109"/>
    </row>
    <row r="632">
      <c r="A632" s="109"/>
      <c r="B632" s="109"/>
    </row>
    <row r="633">
      <c r="A633" s="109"/>
      <c r="B633" s="109"/>
    </row>
    <row r="634">
      <c r="A634" s="109"/>
      <c r="B634" s="109"/>
    </row>
    <row r="635">
      <c r="A635" s="109"/>
      <c r="B635" s="109"/>
    </row>
    <row r="636">
      <c r="A636" s="109"/>
      <c r="B636" s="109"/>
    </row>
    <row r="637">
      <c r="A637" s="109"/>
      <c r="B637" s="109"/>
    </row>
    <row r="638">
      <c r="A638" s="109"/>
      <c r="B638" s="109"/>
    </row>
    <row r="639">
      <c r="A639" s="109"/>
      <c r="B639" s="109"/>
    </row>
    <row r="640">
      <c r="A640" s="109"/>
      <c r="B640" s="109"/>
    </row>
    <row r="641">
      <c r="A641" s="109"/>
      <c r="B641" s="109"/>
    </row>
    <row r="642">
      <c r="A642" s="109"/>
      <c r="B642" s="109"/>
    </row>
    <row r="643">
      <c r="A643" s="109"/>
      <c r="B643" s="109"/>
    </row>
    <row r="644">
      <c r="A644" s="109"/>
      <c r="B644" s="109"/>
    </row>
    <row r="645">
      <c r="A645" s="109"/>
      <c r="B645" s="109"/>
    </row>
    <row r="646">
      <c r="A646" s="109"/>
      <c r="B646" s="109"/>
    </row>
    <row r="647">
      <c r="A647" s="109"/>
      <c r="B647" s="109"/>
    </row>
    <row r="648">
      <c r="A648" s="109"/>
      <c r="B648" s="109"/>
    </row>
    <row r="649">
      <c r="A649" s="109"/>
      <c r="B649" s="109"/>
    </row>
    <row r="650">
      <c r="A650" s="109"/>
      <c r="B650" s="109"/>
    </row>
    <row r="651">
      <c r="A651" s="109"/>
      <c r="B651" s="109"/>
    </row>
    <row r="652">
      <c r="A652" s="109"/>
      <c r="B652" s="109"/>
    </row>
    <row r="653">
      <c r="A653" s="109"/>
      <c r="B653" s="109"/>
    </row>
    <row r="654">
      <c r="A654" s="109"/>
      <c r="B654" s="109"/>
    </row>
    <row r="655">
      <c r="A655" s="109"/>
      <c r="B655" s="109"/>
    </row>
    <row r="656">
      <c r="A656" s="109"/>
      <c r="B656" s="109"/>
    </row>
    <row r="657">
      <c r="A657" s="109"/>
      <c r="B657" s="109"/>
    </row>
    <row r="658">
      <c r="A658" s="109"/>
      <c r="B658" s="109"/>
    </row>
    <row r="659">
      <c r="A659" s="109"/>
      <c r="B659" s="109"/>
    </row>
    <row r="660">
      <c r="A660" s="109"/>
      <c r="B660" s="109"/>
    </row>
    <row r="661">
      <c r="A661" s="109"/>
      <c r="B661" s="109"/>
    </row>
    <row r="662">
      <c r="A662" s="109"/>
      <c r="B662" s="109"/>
    </row>
    <row r="663">
      <c r="A663" s="109"/>
      <c r="B663" s="109"/>
    </row>
    <row r="664">
      <c r="A664" s="109"/>
      <c r="B664" s="109"/>
    </row>
    <row r="665">
      <c r="A665" s="109"/>
      <c r="B665" s="109"/>
    </row>
    <row r="666">
      <c r="A666" s="109"/>
      <c r="B666" s="109"/>
    </row>
    <row r="667">
      <c r="A667" s="109"/>
      <c r="B667" s="109"/>
    </row>
    <row r="668">
      <c r="A668" s="109"/>
      <c r="B668" s="109"/>
    </row>
    <row r="669">
      <c r="A669" s="109"/>
      <c r="B669" s="109"/>
    </row>
    <row r="670">
      <c r="A670" s="109"/>
      <c r="B670" s="109"/>
    </row>
    <row r="671">
      <c r="A671" s="109"/>
      <c r="B671" s="109"/>
    </row>
    <row r="672">
      <c r="A672" s="109"/>
      <c r="B672" s="109"/>
    </row>
    <row r="673">
      <c r="A673" s="109"/>
      <c r="B673" s="109"/>
    </row>
    <row r="674">
      <c r="A674" s="109"/>
      <c r="B674" s="109"/>
    </row>
    <row r="675">
      <c r="A675" s="109"/>
      <c r="B675" s="109"/>
    </row>
    <row r="676">
      <c r="A676" s="109"/>
      <c r="B676" s="109"/>
    </row>
    <row r="677">
      <c r="A677" s="109"/>
      <c r="B677" s="109"/>
    </row>
    <row r="678">
      <c r="A678" s="109"/>
      <c r="B678" s="109"/>
    </row>
    <row r="679">
      <c r="A679" s="109"/>
      <c r="B679" s="109"/>
    </row>
    <row r="680">
      <c r="A680" s="109"/>
      <c r="B680" s="109"/>
    </row>
    <row r="681">
      <c r="A681" s="109"/>
      <c r="B681" s="109"/>
    </row>
    <row r="682">
      <c r="A682" s="109"/>
      <c r="B682" s="109"/>
    </row>
    <row r="683">
      <c r="A683" s="109"/>
      <c r="B683" s="109"/>
    </row>
    <row r="684">
      <c r="A684" s="109"/>
      <c r="B684" s="109"/>
    </row>
    <row r="685">
      <c r="A685" s="109"/>
      <c r="B685" s="109"/>
    </row>
    <row r="686">
      <c r="A686" s="109"/>
      <c r="B686" s="109"/>
    </row>
    <row r="687">
      <c r="A687" s="109"/>
      <c r="B687" s="109"/>
    </row>
    <row r="688">
      <c r="A688" s="109"/>
      <c r="B688" s="109"/>
    </row>
    <row r="689">
      <c r="A689" s="109"/>
      <c r="B689" s="109"/>
    </row>
    <row r="690">
      <c r="A690" s="109"/>
      <c r="B690" s="109"/>
    </row>
    <row r="691">
      <c r="A691" s="109"/>
      <c r="B691" s="109"/>
    </row>
    <row r="692">
      <c r="A692" s="109"/>
      <c r="B692" s="109"/>
    </row>
    <row r="693">
      <c r="A693" s="109"/>
      <c r="B693" s="109"/>
    </row>
    <row r="694">
      <c r="A694" s="109"/>
      <c r="B694" s="109"/>
    </row>
    <row r="695">
      <c r="A695" s="109"/>
      <c r="B695" s="109"/>
    </row>
    <row r="696">
      <c r="A696" s="109"/>
      <c r="B696" s="109"/>
    </row>
    <row r="697">
      <c r="A697" s="109"/>
      <c r="B697" s="109"/>
    </row>
    <row r="698">
      <c r="A698" s="109"/>
      <c r="B698" s="109"/>
    </row>
    <row r="699">
      <c r="A699" s="109"/>
      <c r="B699" s="109"/>
    </row>
    <row r="700">
      <c r="A700" s="109"/>
      <c r="B700" s="109"/>
    </row>
    <row r="701">
      <c r="A701" s="109"/>
      <c r="B701" s="109"/>
    </row>
    <row r="702">
      <c r="A702" s="109"/>
      <c r="B702" s="109"/>
    </row>
    <row r="703">
      <c r="A703" s="109"/>
      <c r="B703" s="109"/>
    </row>
    <row r="704">
      <c r="A704" s="109"/>
      <c r="B704" s="109"/>
    </row>
    <row r="705">
      <c r="A705" s="109"/>
      <c r="B705" s="109"/>
    </row>
    <row r="706">
      <c r="A706" s="109"/>
      <c r="B706" s="109"/>
    </row>
    <row r="707">
      <c r="A707" s="109"/>
      <c r="B707" s="109"/>
    </row>
    <row r="708">
      <c r="A708" s="109"/>
      <c r="B708" s="109"/>
    </row>
    <row r="709">
      <c r="A709" s="109"/>
      <c r="B709" s="109"/>
    </row>
    <row r="710">
      <c r="A710" s="109"/>
      <c r="B710" s="109"/>
    </row>
    <row r="711">
      <c r="A711" s="109"/>
      <c r="B711" s="109"/>
    </row>
    <row r="712">
      <c r="A712" s="109"/>
      <c r="B712" s="109"/>
    </row>
    <row r="713">
      <c r="A713" s="109"/>
      <c r="B713" s="109"/>
    </row>
    <row r="714">
      <c r="A714" s="109"/>
      <c r="B714" s="109"/>
    </row>
    <row r="715">
      <c r="A715" s="109"/>
      <c r="B715" s="109"/>
    </row>
    <row r="716">
      <c r="A716" s="109"/>
      <c r="B716" s="109"/>
    </row>
    <row r="717">
      <c r="A717" s="109"/>
      <c r="B717" s="109"/>
    </row>
    <row r="718">
      <c r="A718" s="109"/>
      <c r="B718" s="109"/>
    </row>
    <row r="719">
      <c r="A719" s="109"/>
      <c r="B719" s="109"/>
    </row>
    <row r="720">
      <c r="A720" s="109"/>
      <c r="B720" s="109"/>
    </row>
    <row r="721">
      <c r="A721" s="109"/>
      <c r="B721" s="109"/>
    </row>
    <row r="722">
      <c r="A722" s="109"/>
      <c r="B722" s="109"/>
    </row>
    <row r="723">
      <c r="A723" s="109"/>
      <c r="B723" s="109"/>
    </row>
    <row r="724">
      <c r="A724" s="109"/>
      <c r="B724" s="109"/>
    </row>
    <row r="725">
      <c r="A725" s="109"/>
      <c r="B725" s="109"/>
    </row>
    <row r="726">
      <c r="A726" s="109"/>
      <c r="B726" s="109"/>
    </row>
    <row r="727">
      <c r="A727" s="109"/>
      <c r="B727" s="109"/>
    </row>
    <row r="728">
      <c r="A728" s="109"/>
      <c r="B728" s="109"/>
    </row>
    <row r="729">
      <c r="A729" s="109"/>
      <c r="B729" s="109"/>
    </row>
    <row r="730">
      <c r="A730" s="109"/>
      <c r="B730" s="109"/>
    </row>
    <row r="731">
      <c r="A731" s="109"/>
      <c r="B731" s="109"/>
    </row>
    <row r="732">
      <c r="A732" s="109"/>
      <c r="B732" s="109"/>
    </row>
    <row r="733">
      <c r="A733" s="109"/>
      <c r="B733" s="109"/>
    </row>
    <row r="734">
      <c r="A734" s="109"/>
      <c r="B734" s="109"/>
    </row>
    <row r="735">
      <c r="A735" s="109"/>
      <c r="B735" s="109"/>
    </row>
    <row r="736">
      <c r="A736" s="109"/>
      <c r="B736" s="109"/>
    </row>
    <row r="737">
      <c r="A737" s="109"/>
      <c r="B737" s="109"/>
    </row>
    <row r="738">
      <c r="A738" s="109"/>
      <c r="B738" s="109"/>
    </row>
    <row r="739">
      <c r="A739" s="109"/>
      <c r="B739" s="109"/>
    </row>
    <row r="740">
      <c r="A740" s="109"/>
      <c r="B740" s="109"/>
    </row>
    <row r="741">
      <c r="A741" s="109"/>
      <c r="B741" s="109"/>
    </row>
    <row r="742">
      <c r="A742" s="109"/>
      <c r="B742" s="109"/>
    </row>
    <row r="743">
      <c r="A743" s="109"/>
      <c r="B743" s="109"/>
    </row>
    <row r="744">
      <c r="A744" s="109"/>
      <c r="B744" s="109"/>
    </row>
    <row r="745">
      <c r="A745" s="109"/>
      <c r="B745" s="109"/>
    </row>
    <row r="746">
      <c r="A746" s="109"/>
      <c r="B746" s="109"/>
    </row>
    <row r="747">
      <c r="A747" s="109"/>
      <c r="B747" s="109"/>
    </row>
    <row r="748">
      <c r="A748" s="109"/>
      <c r="B748" s="109"/>
    </row>
    <row r="749">
      <c r="A749" s="109"/>
      <c r="B749" s="109"/>
    </row>
    <row r="750">
      <c r="A750" s="109"/>
      <c r="B750" s="109"/>
    </row>
    <row r="751">
      <c r="A751" s="109"/>
      <c r="B751" s="109"/>
    </row>
    <row r="752">
      <c r="A752" s="109"/>
      <c r="B752" s="109"/>
    </row>
    <row r="753">
      <c r="A753" s="109"/>
      <c r="B753" s="109"/>
    </row>
    <row r="754">
      <c r="A754" s="109"/>
      <c r="B754" s="109"/>
    </row>
    <row r="755">
      <c r="A755" s="109"/>
      <c r="B755" s="109"/>
    </row>
    <row r="756">
      <c r="A756" s="109"/>
      <c r="B756" s="109"/>
    </row>
    <row r="757">
      <c r="A757" s="109"/>
      <c r="B757" s="109"/>
    </row>
    <row r="758">
      <c r="A758" s="109"/>
      <c r="B758" s="109"/>
    </row>
    <row r="759">
      <c r="A759" s="109"/>
      <c r="B759" s="109"/>
    </row>
    <row r="760">
      <c r="A760" s="109"/>
      <c r="B760" s="109"/>
    </row>
    <row r="761">
      <c r="A761" s="109"/>
      <c r="B761" s="109"/>
    </row>
    <row r="762">
      <c r="A762" s="109"/>
      <c r="B762" s="109"/>
    </row>
    <row r="763">
      <c r="A763" s="109"/>
      <c r="B763" s="109"/>
    </row>
    <row r="764">
      <c r="A764" s="109"/>
      <c r="B764" s="109"/>
    </row>
    <row r="765">
      <c r="A765" s="109"/>
      <c r="B765" s="109"/>
    </row>
    <row r="766">
      <c r="A766" s="109"/>
      <c r="B766" s="109"/>
    </row>
    <row r="767">
      <c r="A767" s="109"/>
      <c r="B767" s="109"/>
    </row>
    <row r="768">
      <c r="A768" s="109"/>
      <c r="B768" s="109"/>
    </row>
    <row r="769">
      <c r="A769" s="109"/>
      <c r="B769" s="109"/>
    </row>
    <row r="770">
      <c r="A770" s="109"/>
      <c r="B770" s="109"/>
    </row>
    <row r="771">
      <c r="A771" s="109"/>
      <c r="B771" s="109"/>
    </row>
    <row r="772">
      <c r="A772" s="109"/>
      <c r="B772" s="109"/>
    </row>
    <row r="773">
      <c r="A773" s="109"/>
      <c r="B773" s="109"/>
    </row>
    <row r="774">
      <c r="A774" s="109"/>
      <c r="B774" s="109"/>
    </row>
    <row r="775">
      <c r="A775" s="109"/>
      <c r="B775" s="109"/>
    </row>
    <row r="776">
      <c r="A776" s="109"/>
      <c r="B776" s="109"/>
    </row>
    <row r="777">
      <c r="A777" s="109"/>
      <c r="B777" s="109"/>
    </row>
    <row r="778">
      <c r="A778" s="109"/>
      <c r="B778" s="109"/>
    </row>
    <row r="779">
      <c r="A779" s="109"/>
      <c r="B779" s="109"/>
    </row>
    <row r="780">
      <c r="A780" s="109"/>
      <c r="B780" s="109"/>
    </row>
    <row r="781">
      <c r="A781" s="109"/>
      <c r="B781" s="109"/>
    </row>
    <row r="782">
      <c r="A782" s="109"/>
      <c r="B782" s="109"/>
    </row>
    <row r="783">
      <c r="A783" s="109"/>
      <c r="B783" s="109"/>
    </row>
    <row r="784">
      <c r="A784" s="109"/>
      <c r="B784" s="109"/>
    </row>
    <row r="785">
      <c r="A785" s="109"/>
      <c r="B785" s="109"/>
    </row>
    <row r="786">
      <c r="A786" s="109"/>
      <c r="B786" s="109"/>
    </row>
    <row r="787">
      <c r="A787" s="109"/>
      <c r="B787" s="109"/>
    </row>
    <row r="788">
      <c r="A788" s="109"/>
      <c r="B788" s="109"/>
    </row>
    <row r="789">
      <c r="A789" s="109"/>
      <c r="B789" s="109"/>
    </row>
    <row r="790">
      <c r="A790" s="109"/>
      <c r="B790" s="109"/>
    </row>
    <row r="791">
      <c r="A791" s="109"/>
      <c r="B791" s="109"/>
    </row>
    <row r="792">
      <c r="A792" s="109"/>
      <c r="B792" s="109"/>
    </row>
    <row r="793">
      <c r="A793" s="109"/>
      <c r="B793" s="109"/>
    </row>
    <row r="794">
      <c r="A794" s="109"/>
      <c r="B794" s="109"/>
    </row>
    <row r="795">
      <c r="A795" s="109"/>
      <c r="B795" s="109"/>
    </row>
    <row r="796">
      <c r="A796" s="109"/>
      <c r="B796" s="109"/>
    </row>
    <row r="797">
      <c r="A797" s="109"/>
      <c r="B797" s="109"/>
    </row>
    <row r="798">
      <c r="A798" s="109"/>
      <c r="B798" s="109"/>
    </row>
    <row r="799">
      <c r="A799" s="109"/>
      <c r="B799" s="109"/>
    </row>
    <row r="800">
      <c r="A800" s="109"/>
      <c r="B800" s="109"/>
    </row>
    <row r="801">
      <c r="A801" s="109"/>
      <c r="B801" s="109"/>
    </row>
    <row r="802">
      <c r="A802" s="109"/>
      <c r="B802" s="109"/>
    </row>
    <row r="803">
      <c r="A803" s="109"/>
      <c r="B803" s="109"/>
    </row>
    <row r="804">
      <c r="A804" s="109"/>
      <c r="B804" s="109"/>
    </row>
    <row r="805">
      <c r="A805" s="109"/>
      <c r="B805" s="109"/>
    </row>
    <row r="806">
      <c r="A806" s="109"/>
      <c r="B806" s="109"/>
    </row>
    <row r="807">
      <c r="A807" s="109"/>
      <c r="B807" s="109"/>
    </row>
    <row r="808">
      <c r="A808" s="109"/>
      <c r="B808" s="109"/>
    </row>
    <row r="809">
      <c r="A809" s="109"/>
      <c r="B809" s="109"/>
    </row>
    <row r="810">
      <c r="A810" s="109"/>
      <c r="B810" s="109"/>
    </row>
    <row r="811">
      <c r="A811" s="109"/>
      <c r="B811" s="109"/>
    </row>
    <row r="812">
      <c r="A812" s="109"/>
      <c r="B812" s="109"/>
    </row>
    <row r="813">
      <c r="A813" s="109"/>
      <c r="B813" s="109"/>
    </row>
    <row r="814">
      <c r="A814" s="109"/>
      <c r="B814" s="109"/>
    </row>
    <row r="815">
      <c r="A815" s="109"/>
      <c r="B815" s="109"/>
    </row>
    <row r="816">
      <c r="A816" s="109"/>
      <c r="B816" s="109"/>
    </row>
    <row r="817">
      <c r="A817" s="109"/>
      <c r="B817" s="109"/>
    </row>
    <row r="818">
      <c r="A818" s="109"/>
      <c r="B818" s="109"/>
    </row>
    <row r="819">
      <c r="A819" s="109"/>
      <c r="B819" s="109"/>
    </row>
    <row r="820">
      <c r="A820" s="109"/>
      <c r="B820" s="109"/>
    </row>
    <row r="821">
      <c r="A821" s="109"/>
      <c r="B821" s="109"/>
    </row>
    <row r="822">
      <c r="A822" s="109"/>
      <c r="B822" s="109"/>
    </row>
    <row r="823">
      <c r="A823" s="109"/>
      <c r="B823" s="109"/>
    </row>
    <row r="824">
      <c r="A824" s="109"/>
      <c r="B824" s="109"/>
    </row>
    <row r="825">
      <c r="A825" s="109"/>
      <c r="B825" s="109"/>
    </row>
    <row r="826">
      <c r="A826" s="109"/>
      <c r="B826" s="109"/>
    </row>
    <row r="827">
      <c r="A827" s="109"/>
      <c r="B827" s="109"/>
    </row>
    <row r="828">
      <c r="A828" s="109"/>
      <c r="B828" s="109"/>
    </row>
    <row r="829">
      <c r="A829" s="109"/>
      <c r="B829" s="109"/>
    </row>
    <row r="830">
      <c r="A830" s="109"/>
      <c r="B830" s="109"/>
    </row>
    <row r="831">
      <c r="A831" s="109"/>
      <c r="B831" s="109"/>
    </row>
    <row r="832">
      <c r="A832" s="109"/>
      <c r="B832" s="109"/>
    </row>
    <row r="833">
      <c r="A833" s="109"/>
      <c r="B833" s="109"/>
    </row>
    <row r="834">
      <c r="A834" s="109"/>
      <c r="B834" s="109"/>
    </row>
    <row r="835">
      <c r="A835" s="109"/>
      <c r="B835" s="109"/>
    </row>
    <row r="836">
      <c r="A836" s="109"/>
      <c r="B836" s="109"/>
    </row>
    <row r="837">
      <c r="A837" s="109"/>
      <c r="B837" s="109"/>
    </row>
    <row r="838">
      <c r="A838" s="109"/>
      <c r="B838" s="109"/>
    </row>
    <row r="839">
      <c r="A839" s="109"/>
      <c r="B839" s="109"/>
    </row>
    <row r="840">
      <c r="A840" s="109"/>
      <c r="B840" s="109"/>
    </row>
    <row r="841">
      <c r="A841" s="109"/>
      <c r="B841" s="109"/>
    </row>
    <row r="842">
      <c r="A842" s="109"/>
      <c r="B842" s="109"/>
    </row>
    <row r="843">
      <c r="A843" s="109"/>
      <c r="B843" s="109"/>
    </row>
    <row r="844">
      <c r="A844" s="109"/>
      <c r="B844" s="109"/>
    </row>
    <row r="845">
      <c r="A845" s="109"/>
      <c r="B845" s="109"/>
    </row>
    <row r="846">
      <c r="A846" s="109"/>
      <c r="B846" s="109"/>
    </row>
    <row r="847">
      <c r="A847" s="109"/>
      <c r="B847" s="109"/>
    </row>
    <row r="848">
      <c r="A848" s="109"/>
      <c r="B848" s="109"/>
    </row>
    <row r="849">
      <c r="A849" s="109"/>
      <c r="B849" s="109"/>
    </row>
    <row r="850">
      <c r="A850" s="109"/>
      <c r="B850" s="109"/>
    </row>
    <row r="851">
      <c r="A851" s="109"/>
      <c r="B851" s="109"/>
    </row>
    <row r="852">
      <c r="A852" s="109"/>
      <c r="B852" s="109"/>
    </row>
    <row r="853">
      <c r="A853" s="109"/>
      <c r="B853" s="109"/>
    </row>
    <row r="854">
      <c r="A854" s="109"/>
      <c r="B854" s="109"/>
    </row>
    <row r="855">
      <c r="A855" s="109"/>
      <c r="B855" s="109"/>
    </row>
    <row r="856">
      <c r="A856" s="109"/>
      <c r="B856" s="109"/>
    </row>
    <row r="857">
      <c r="A857" s="109"/>
      <c r="B857" s="109"/>
    </row>
    <row r="858">
      <c r="A858" s="109"/>
      <c r="B858" s="109"/>
    </row>
    <row r="859">
      <c r="A859" s="109"/>
      <c r="B859" s="109"/>
    </row>
    <row r="860">
      <c r="A860" s="109"/>
      <c r="B860" s="109"/>
    </row>
    <row r="861">
      <c r="A861" s="109"/>
      <c r="B861" s="109"/>
    </row>
    <row r="862">
      <c r="A862" s="109"/>
      <c r="B862" s="109"/>
    </row>
    <row r="863">
      <c r="A863" s="109"/>
      <c r="B863" s="109"/>
    </row>
    <row r="864">
      <c r="A864" s="109"/>
      <c r="B864" s="109"/>
    </row>
    <row r="865">
      <c r="A865" s="109"/>
      <c r="B865" s="109"/>
    </row>
    <row r="866">
      <c r="A866" s="109"/>
      <c r="B866" s="109"/>
    </row>
    <row r="867">
      <c r="A867" s="109"/>
      <c r="B867" s="109"/>
    </row>
    <row r="868">
      <c r="A868" s="109"/>
      <c r="B868" s="109"/>
    </row>
    <row r="869">
      <c r="A869" s="109"/>
      <c r="B869" s="109"/>
    </row>
    <row r="870">
      <c r="A870" s="109"/>
      <c r="B870" s="109"/>
    </row>
    <row r="871">
      <c r="A871" s="109"/>
      <c r="B871" s="109"/>
    </row>
    <row r="872">
      <c r="A872" s="109"/>
      <c r="B872" s="109"/>
    </row>
    <row r="873">
      <c r="A873" s="109"/>
      <c r="B873" s="109"/>
    </row>
    <row r="874">
      <c r="A874" s="109"/>
      <c r="B874" s="109"/>
    </row>
    <row r="875">
      <c r="A875" s="109"/>
      <c r="B875" s="109"/>
    </row>
    <row r="876">
      <c r="A876" s="109"/>
      <c r="B876" s="109"/>
    </row>
    <row r="877">
      <c r="A877" s="109"/>
      <c r="B877" s="109"/>
    </row>
    <row r="878">
      <c r="A878" s="109"/>
      <c r="B878" s="109"/>
    </row>
    <row r="879">
      <c r="A879" s="109"/>
      <c r="B879" s="109"/>
    </row>
    <row r="880">
      <c r="A880" s="109"/>
      <c r="B880" s="109"/>
    </row>
    <row r="881">
      <c r="A881" s="109"/>
      <c r="B881" s="109"/>
    </row>
    <row r="882">
      <c r="A882" s="109"/>
      <c r="B882" s="109"/>
    </row>
    <row r="883">
      <c r="A883" s="109"/>
      <c r="B883" s="109"/>
    </row>
    <row r="884">
      <c r="A884" s="109"/>
      <c r="B884" s="109"/>
    </row>
    <row r="885">
      <c r="A885" s="109"/>
      <c r="B885" s="109"/>
    </row>
    <row r="886">
      <c r="A886" s="109"/>
      <c r="B886" s="109"/>
    </row>
    <row r="887">
      <c r="A887" s="109"/>
      <c r="B887" s="109"/>
    </row>
    <row r="888">
      <c r="A888" s="109"/>
      <c r="B888" s="109"/>
    </row>
    <row r="889">
      <c r="A889" s="109"/>
      <c r="B889" s="109"/>
    </row>
    <row r="890">
      <c r="A890" s="109"/>
      <c r="B890" s="109"/>
    </row>
    <row r="891">
      <c r="A891" s="109"/>
      <c r="B891" s="109"/>
    </row>
    <row r="892">
      <c r="A892" s="109"/>
      <c r="B892" s="109"/>
    </row>
    <row r="893">
      <c r="A893" s="109"/>
      <c r="B893" s="109"/>
    </row>
    <row r="894">
      <c r="A894" s="109"/>
      <c r="B894" s="109"/>
    </row>
    <row r="895">
      <c r="A895" s="109"/>
      <c r="B895" s="109"/>
    </row>
    <row r="896">
      <c r="A896" s="109"/>
      <c r="B896" s="109"/>
    </row>
    <row r="897">
      <c r="A897" s="109"/>
      <c r="B897" s="109"/>
    </row>
    <row r="898">
      <c r="A898" s="109"/>
      <c r="B898" s="109"/>
    </row>
    <row r="899">
      <c r="A899" s="109"/>
      <c r="B899" s="109"/>
    </row>
    <row r="900">
      <c r="A900" s="109"/>
      <c r="B900" s="109"/>
    </row>
    <row r="901">
      <c r="A901" s="109"/>
      <c r="B901" s="109"/>
    </row>
    <row r="902">
      <c r="A902" s="109"/>
      <c r="B902" s="109"/>
    </row>
    <row r="903">
      <c r="A903" s="109"/>
      <c r="B903" s="109"/>
    </row>
    <row r="904">
      <c r="A904" s="109"/>
      <c r="B904" s="109"/>
    </row>
    <row r="905">
      <c r="A905" s="109"/>
      <c r="B905" s="109"/>
    </row>
    <row r="906">
      <c r="A906" s="109"/>
      <c r="B906" s="109"/>
    </row>
    <row r="907">
      <c r="A907" s="109"/>
      <c r="B907" s="109"/>
    </row>
    <row r="908">
      <c r="A908" s="109"/>
      <c r="B908" s="109"/>
    </row>
    <row r="909">
      <c r="A909" s="109"/>
      <c r="B909" s="109"/>
    </row>
    <row r="910">
      <c r="A910" s="109"/>
      <c r="B910" s="109"/>
    </row>
    <row r="911">
      <c r="A911" s="109"/>
      <c r="B911" s="109"/>
    </row>
    <row r="912">
      <c r="A912" s="109"/>
      <c r="B912" s="109"/>
    </row>
    <row r="913">
      <c r="A913" s="109"/>
      <c r="B913" s="109"/>
    </row>
    <row r="914">
      <c r="A914" s="109"/>
      <c r="B914" s="109"/>
    </row>
    <row r="915">
      <c r="A915" s="109"/>
      <c r="B915" s="109"/>
    </row>
    <row r="916">
      <c r="A916" s="109"/>
      <c r="B916" s="109"/>
    </row>
    <row r="917">
      <c r="A917" s="109"/>
      <c r="B917" s="109"/>
    </row>
    <row r="918">
      <c r="A918" s="109"/>
      <c r="B918" s="109"/>
    </row>
    <row r="919">
      <c r="A919" s="109"/>
      <c r="B919" s="109"/>
    </row>
    <row r="920">
      <c r="A920" s="109"/>
      <c r="B920" s="109"/>
    </row>
    <row r="921">
      <c r="A921" s="109"/>
      <c r="B921" s="109"/>
    </row>
    <row r="922">
      <c r="A922" s="109"/>
      <c r="B922" s="109"/>
    </row>
    <row r="923">
      <c r="A923" s="109"/>
      <c r="B923" s="109"/>
    </row>
    <row r="924">
      <c r="A924" s="109"/>
      <c r="B924" s="109"/>
    </row>
    <row r="925">
      <c r="A925" s="109"/>
      <c r="B925" s="109"/>
    </row>
    <row r="926">
      <c r="A926" s="109"/>
      <c r="B926" s="109"/>
    </row>
    <row r="927">
      <c r="A927" s="109"/>
      <c r="B927" s="109"/>
    </row>
    <row r="928">
      <c r="A928" s="109"/>
      <c r="B928" s="109"/>
    </row>
    <row r="929">
      <c r="A929" s="109"/>
      <c r="B929" s="109"/>
    </row>
    <row r="930">
      <c r="A930" s="109"/>
      <c r="B930" s="109"/>
    </row>
    <row r="931">
      <c r="A931" s="109"/>
      <c r="B931" s="109"/>
    </row>
    <row r="932">
      <c r="A932" s="109"/>
      <c r="B932" s="109"/>
    </row>
    <row r="933">
      <c r="A933" s="109"/>
      <c r="B933" s="109"/>
    </row>
    <row r="934">
      <c r="A934" s="109"/>
      <c r="B934" s="109"/>
    </row>
    <row r="935">
      <c r="A935" s="109"/>
      <c r="B935" s="109"/>
    </row>
    <row r="936">
      <c r="A936" s="109"/>
      <c r="B936" s="109"/>
    </row>
    <row r="937">
      <c r="A937" s="109"/>
      <c r="B937" s="109"/>
    </row>
    <row r="938">
      <c r="A938" s="109"/>
      <c r="B938" s="109"/>
    </row>
    <row r="939">
      <c r="A939" s="109"/>
      <c r="B939" s="109"/>
    </row>
    <row r="940">
      <c r="A940" s="109"/>
      <c r="B940" s="109"/>
    </row>
    <row r="941">
      <c r="A941" s="109"/>
      <c r="B941" s="109"/>
    </row>
    <row r="942">
      <c r="A942" s="109"/>
      <c r="B942" s="109"/>
    </row>
    <row r="943">
      <c r="A943" s="109"/>
      <c r="B943" s="109"/>
    </row>
    <row r="944">
      <c r="A944" s="109"/>
      <c r="B944" s="109"/>
    </row>
    <row r="945">
      <c r="A945" s="109"/>
      <c r="B945" s="109"/>
    </row>
    <row r="946">
      <c r="A946" s="109"/>
      <c r="B946" s="109"/>
    </row>
    <row r="947">
      <c r="A947" s="109"/>
      <c r="B947" s="109"/>
    </row>
    <row r="948">
      <c r="A948" s="109"/>
      <c r="B948" s="109"/>
    </row>
    <row r="949">
      <c r="A949" s="109"/>
      <c r="B949" s="109"/>
    </row>
    <row r="950">
      <c r="A950" s="109"/>
      <c r="B950" s="109"/>
    </row>
    <row r="951">
      <c r="A951" s="109"/>
      <c r="B951" s="109"/>
    </row>
    <row r="952">
      <c r="A952" s="109"/>
      <c r="B952" s="109"/>
    </row>
    <row r="953">
      <c r="A953" s="109"/>
      <c r="B953" s="109"/>
    </row>
    <row r="954">
      <c r="A954" s="109"/>
      <c r="B954" s="109"/>
    </row>
    <row r="955">
      <c r="A955" s="109"/>
      <c r="B955" s="109"/>
    </row>
    <row r="956">
      <c r="A956" s="109"/>
      <c r="B956" s="109"/>
    </row>
    <row r="957">
      <c r="A957" s="109"/>
      <c r="B957" s="109"/>
    </row>
    <row r="958">
      <c r="A958" s="109"/>
      <c r="B958" s="109"/>
    </row>
    <row r="959">
      <c r="A959" s="109"/>
      <c r="B959" s="109"/>
    </row>
    <row r="960">
      <c r="A960" s="109"/>
      <c r="B960" s="109"/>
    </row>
    <row r="961">
      <c r="A961" s="109"/>
      <c r="B961" s="109"/>
    </row>
    <row r="962">
      <c r="A962" s="109"/>
      <c r="B962" s="109"/>
    </row>
    <row r="963">
      <c r="A963" s="109"/>
      <c r="B963" s="109"/>
    </row>
    <row r="964">
      <c r="A964" s="109"/>
      <c r="B964" s="109"/>
    </row>
    <row r="965">
      <c r="A965" s="109"/>
      <c r="B965" s="109"/>
    </row>
    <row r="966">
      <c r="A966" s="109"/>
      <c r="B966" s="109"/>
    </row>
    <row r="967">
      <c r="A967" s="109"/>
      <c r="B967" s="109"/>
    </row>
    <row r="968">
      <c r="A968" s="109"/>
      <c r="B968" s="109"/>
    </row>
    <row r="969">
      <c r="A969" s="109"/>
      <c r="B969" s="109"/>
    </row>
    <row r="970">
      <c r="A970" s="109"/>
      <c r="B970" s="109"/>
    </row>
    <row r="971">
      <c r="A971" s="109"/>
      <c r="B971" s="109"/>
    </row>
    <row r="972">
      <c r="A972" s="109"/>
      <c r="B972" s="109"/>
    </row>
    <row r="973">
      <c r="A973" s="109"/>
      <c r="B973" s="109"/>
    </row>
    <row r="974">
      <c r="A974" s="109"/>
      <c r="B974" s="109"/>
    </row>
    <row r="975">
      <c r="A975" s="109"/>
      <c r="B975" s="109"/>
    </row>
    <row r="976">
      <c r="A976" s="109"/>
      <c r="B976" s="109"/>
    </row>
    <row r="977">
      <c r="A977" s="109"/>
      <c r="B977" s="109"/>
    </row>
    <row r="978">
      <c r="A978" s="109"/>
      <c r="B978" s="109"/>
    </row>
    <row r="979">
      <c r="A979" s="109"/>
      <c r="B979" s="109"/>
    </row>
    <row r="980">
      <c r="A980" s="109"/>
      <c r="B980" s="109"/>
    </row>
    <row r="981">
      <c r="A981" s="109"/>
      <c r="B981" s="109"/>
    </row>
    <row r="982">
      <c r="A982" s="109"/>
      <c r="B982" s="109"/>
    </row>
    <row r="983">
      <c r="A983" s="109"/>
      <c r="B983" s="109"/>
    </row>
    <row r="984">
      <c r="A984" s="109"/>
      <c r="B984" s="109"/>
    </row>
    <row r="985">
      <c r="A985" s="109"/>
      <c r="B985" s="109"/>
    </row>
    <row r="986">
      <c r="A986" s="109"/>
      <c r="B986" s="109"/>
    </row>
    <row r="987">
      <c r="A987" s="109"/>
      <c r="B987" s="109"/>
    </row>
    <row r="988">
      <c r="A988" s="109"/>
      <c r="B988" s="109"/>
    </row>
    <row r="989">
      <c r="A989" s="109"/>
      <c r="B989" s="109"/>
    </row>
    <row r="990">
      <c r="A990" s="109"/>
      <c r="B990" s="109"/>
    </row>
    <row r="991">
      <c r="A991" s="109"/>
      <c r="B991" s="109"/>
    </row>
    <row r="992">
      <c r="A992" s="109"/>
      <c r="B992" s="109"/>
    </row>
    <row r="993">
      <c r="A993" s="109"/>
      <c r="B993" s="109"/>
    </row>
    <row r="994">
      <c r="A994" s="109"/>
      <c r="B994" s="109"/>
    </row>
    <row r="995">
      <c r="A995" s="109"/>
      <c r="B995" s="109"/>
    </row>
    <row r="996">
      <c r="A996" s="109"/>
      <c r="B996" s="109"/>
    </row>
    <row r="997">
      <c r="A997" s="109"/>
      <c r="B997" s="109"/>
    </row>
    <row r="998">
      <c r="A998" s="109"/>
      <c r="B998" s="109"/>
    </row>
    <row r="999">
      <c r="A999" s="109"/>
      <c r="B999" s="109"/>
    </row>
    <row r="1000">
      <c r="A1000" s="109"/>
      <c r="B1000" s="109"/>
    </row>
    <row r="1001">
      <c r="A1001" s="109"/>
      <c r="B1001" s="109"/>
    </row>
    <row r="1002">
      <c r="A1002" s="109"/>
      <c r="B1002" s="109"/>
    </row>
    <row r="1003">
      <c r="A1003" s="109"/>
      <c r="B1003" s="109"/>
    </row>
    <row r="1004">
      <c r="A1004" s="109"/>
      <c r="B1004" s="109"/>
    </row>
    <row r="1005">
      <c r="A1005" s="109"/>
      <c r="B1005" s="109"/>
    </row>
    <row r="1006">
      <c r="A1006" s="109"/>
      <c r="B1006" s="109"/>
    </row>
    <row r="1007">
      <c r="A1007" s="109"/>
      <c r="B1007" s="109"/>
    </row>
    <row r="1008">
      <c r="A1008" s="109"/>
      <c r="B1008" s="109"/>
    </row>
    <row r="1009">
      <c r="A1009" s="109"/>
      <c r="B1009" s="109"/>
    </row>
    <row r="1010">
      <c r="A1010" s="109"/>
      <c r="B1010" s="109"/>
    </row>
    <row r="1011">
      <c r="A1011" s="109"/>
      <c r="B1011" s="109"/>
    </row>
    <row r="1012">
      <c r="A1012" s="109"/>
      <c r="B1012" s="109"/>
    </row>
    <row r="1013">
      <c r="A1013" s="109"/>
      <c r="B1013" s="109"/>
    </row>
    <row r="1014">
      <c r="A1014" s="109"/>
      <c r="B1014" s="109"/>
    </row>
    <row r="1015">
      <c r="A1015" s="109"/>
      <c r="B1015" s="109"/>
    </row>
    <row r="1016">
      <c r="A1016" s="109"/>
      <c r="B1016" s="109"/>
    </row>
    <row r="1017">
      <c r="A1017" s="109"/>
      <c r="B1017" s="109"/>
    </row>
    <row r="1018">
      <c r="A1018" s="109"/>
      <c r="B1018" s="109"/>
    </row>
    <row r="1019">
      <c r="A1019" s="109"/>
      <c r="B1019" s="109"/>
    </row>
    <row r="1020">
      <c r="A1020" s="109"/>
      <c r="B1020" s="109"/>
    </row>
    <row r="1021">
      <c r="A1021" s="109"/>
      <c r="B1021" s="109"/>
    </row>
    <row r="1022">
      <c r="A1022" s="109"/>
      <c r="B1022" s="109"/>
    </row>
    <row r="1023">
      <c r="A1023" s="109"/>
      <c r="B1023" s="109"/>
    </row>
    <row r="1024">
      <c r="A1024" s="109"/>
      <c r="B1024" s="109"/>
    </row>
    <row r="1025">
      <c r="A1025" s="109"/>
      <c r="B1025" s="109"/>
    </row>
    <row r="1026">
      <c r="A1026" s="109"/>
      <c r="B1026" s="109"/>
    </row>
    <row r="1027">
      <c r="A1027" s="109"/>
      <c r="B1027" s="109"/>
    </row>
    <row r="1028">
      <c r="A1028" s="109"/>
      <c r="B1028" s="109"/>
    </row>
    <row r="1029">
      <c r="A1029" s="109"/>
      <c r="B1029" s="109"/>
    </row>
    <row r="1030">
      <c r="A1030" s="109"/>
      <c r="B1030" s="109"/>
    </row>
    <row r="1031">
      <c r="A1031" s="109"/>
      <c r="B1031" s="109"/>
    </row>
    <row r="1032">
      <c r="A1032" s="109"/>
      <c r="B1032" s="109"/>
    </row>
    <row r="1033">
      <c r="A1033" s="109"/>
      <c r="B1033" s="109"/>
    </row>
    <row r="1034">
      <c r="A1034" s="109"/>
      <c r="B1034" s="109"/>
    </row>
    <row r="1035">
      <c r="A1035" s="109"/>
      <c r="B1035" s="109"/>
    </row>
    <row r="1036">
      <c r="A1036" s="109"/>
      <c r="B1036" s="109"/>
    </row>
    <row r="1037">
      <c r="A1037" s="109"/>
      <c r="B1037" s="109"/>
    </row>
    <row r="1038">
      <c r="A1038" s="109"/>
      <c r="B1038" s="109"/>
    </row>
    <row r="1039">
      <c r="A1039" s="109"/>
      <c r="B1039" s="109"/>
    </row>
    <row r="1040">
      <c r="A1040" s="109"/>
      <c r="B1040" s="109"/>
    </row>
    <row r="1041">
      <c r="A1041" s="109"/>
      <c r="B1041" s="109"/>
    </row>
    <row r="1042">
      <c r="A1042" s="109"/>
      <c r="B1042" s="109"/>
    </row>
    <row r="1043">
      <c r="A1043" s="109"/>
      <c r="B1043" s="109"/>
    </row>
    <row r="1044">
      <c r="A1044" s="109"/>
      <c r="B1044" s="109"/>
    </row>
    <row r="1045">
      <c r="A1045" s="109"/>
      <c r="B1045" s="109"/>
    </row>
    <row r="1046">
      <c r="A1046" s="109"/>
      <c r="B1046" s="109"/>
    </row>
    <row r="1047">
      <c r="A1047" s="109"/>
      <c r="B1047" s="109"/>
    </row>
    <row r="1048">
      <c r="A1048" s="109"/>
      <c r="B1048" s="109"/>
    </row>
    <row r="1049">
      <c r="A1049" s="109"/>
      <c r="B1049" s="109"/>
    </row>
    <row r="1050">
      <c r="A1050" s="109"/>
      <c r="B1050" s="109"/>
    </row>
    <row r="1051">
      <c r="A1051" s="109"/>
      <c r="B1051" s="109"/>
    </row>
    <row r="1052">
      <c r="A1052" s="109"/>
      <c r="B1052" s="109"/>
    </row>
    <row r="1053">
      <c r="A1053" s="109"/>
      <c r="B1053" s="109"/>
    </row>
    <row r="1054">
      <c r="A1054" s="109"/>
      <c r="B1054" s="109"/>
    </row>
    <row r="1055">
      <c r="A1055" s="109"/>
      <c r="B1055" s="109"/>
    </row>
    <row r="1056">
      <c r="A1056" s="109"/>
      <c r="B1056" s="109"/>
    </row>
    <row r="1057">
      <c r="A1057" s="109"/>
      <c r="B1057" s="109"/>
    </row>
    <row r="1058">
      <c r="A1058" s="109"/>
      <c r="B1058" s="109"/>
    </row>
    <row r="1059">
      <c r="A1059" s="109"/>
      <c r="B1059" s="109"/>
    </row>
    <row r="1060">
      <c r="A1060" s="109"/>
      <c r="B1060" s="109"/>
    </row>
    <row r="1061">
      <c r="A1061" s="109"/>
      <c r="B1061" s="109"/>
    </row>
    <row r="1062">
      <c r="A1062" s="109"/>
      <c r="B1062" s="109"/>
    </row>
    <row r="1063">
      <c r="A1063" s="109"/>
      <c r="B1063" s="109"/>
    </row>
    <row r="1064">
      <c r="A1064" s="109"/>
      <c r="B1064" s="109"/>
    </row>
    <row r="1065">
      <c r="A1065" s="109"/>
      <c r="B1065" s="109"/>
    </row>
    <row r="1066">
      <c r="A1066" s="109"/>
      <c r="B1066" s="109"/>
    </row>
    <row r="1067">
      <c r="A1067" s="109"/>
      <c r="B1067" s="109"/>
    </row>
    <row r="1068">
      <c r="A1068" s="109"/>
      <c r="B1068" s="109"/>
    </row>
    <row r="1069">
      <c r="A1069" s="109"/>
      <c r="B1069" s="109"/>
    </row>
    <row r="1070">
      <c r="A1070" s="109"/>
      <c r="B1070" s="109"/>
    </row>
    <row r="1071">
      <c r="A1071" s="109"/>
      <c r="B1071" s="109"/>
    </row>
    <row r="1072">
      <c r="A1072" s="109"/>
      <c r="B1072" s="109"/>
    </row>
    <row r="1073">
      <c r="A1073" s="109"/>
      <c r="B1073" s="109"/>
    </row>
    <row r="1074">
      <c r="A1074" s="109"/>
      <c r="B1074" s="109"/>
    </row>
    <row r="1075">
      <c r="A1075" s="109"/>
      <c r="B1075" s="109"/>
    </row>
    <row r="1076">
      <c r="A1076" s="109"/>
      <c r="B1076" s="109"/>
    </row>
    <row r="1077">
      <c r="A1077" s="109"/>
      <c r="B1077" s="109"/>
    </row>
    <row r="1078">
      <c r="A1078" s="109"/>
      <c r="B1078" s="109"/>
    </row>
    <row r="1079">
      <c r="A1079" s="109"/>
      <c r="B1079" s="109"/>
    </row>
    <row r="1080">
      <c r="A1080" s="109"/>
      <c r="B1080" s="109"/>
    </row>
    <row r="1081">
      <c r="A1081" s="109"/>
      <c r="B1081" s="109"/>
    </row>
    <row r="1082">
      <c r="A1082" s="109"/>
      <c r="B1082" s="109"/>
    </row>
    <row r="1083">
      <c r="A1083" s="109"/>
      <c r="B1083" s="109"/>
    </row>
    <row r="1084">
      <c r="A1084" s="109"/>
      <c r="B1084" s="109"/>
    </row>
    <row r="1085">
      <c r="A1085" s="109"/>
      <c r="B1085" s="109"/>
    </row>
    <row r="1086">
      <c r="A1086" s="109"/>
      <c r="B1086" s="109"/>
    </row>
    <row r="1087">
      <c r="A1087" s="109"/>
      <c r="B1087" s="109"/>
    </row>
    <row r="1088">
      <c r="A1088" s="109"/>
      <c r="B1088" s="109"/>
    </row>
    <row r="1089">
      <c r="A1089" s="109"/>
      <c r="B1089" s="109"/>
    </row>
    <row r="1090">
      <c r="A1090" s="109"/>
      <c r="B1090" s="109"/>
    </row>
    <row r="1091">
      <c r="A1091" s="109"/>
      <c r="B1091" s="109"/>
    </row>
    <row r="1092">
      <c r="A1092" s="109"/>
      <c r="B1092" s="109"/>
    </row>
    <row r="1093">
      <c r="A1093" s="109"/>
      <c r="B1093" s="109"/>
    </row>
    <row r="1094">
      <c r="A1094" s="109"/>
      <c r="B1094" s="109"/>
    </row>
    <row r="1095">
      <c r="A1095" s="109"/>
      <c r="B1095" s="109"/>
    </row>
    <row r="1096">
      <c r="A1096" s="109"/>
      <c r="B1096" s="109"/>
    </row>
    <row r="1097">
      <c r="A1097" s="109"/>
      <c r="B1097" s="109"/>
    </row>
    <row r="1098">
      <c r="A1098" s="109"/>
      <c r="B1098" s="109"/>
    </row>
    <row r="1099">
      <c r="A1099" s="109"/>
      <c r="B1099" s="109"/>
    </row>
    <row r="1100">
      <c r="A1100" s="109"/>
      <c r="B1100" s="109"/>
    </row>
    <row r="1101">
      <c r="A1101" s="109"/>
      <c r="B1101" s="109"/>
    </row>
    <row r="1102">
      <c r="A1102" s="109"/>
      <c r="B1102" s="109"/>
    </row>
    <row r="1103">
      <c r="A1103" s="109"/>
      <c r="B1103" s="109"/>
    </row>
    <row r="1104">
      <c r="A1104" s="109"/>
      <c r="B1104" s="109"/>
    </row>
    <row r="1105">
      <c r="A1105" s="109"/>
      <c r="B1105" s="109"/>
    </row>
    <row r="1106">
      <c r="A1106" s="109"/>
      <c r="B1106" s="109"/>
    </row>
    <row r="1107">
      <c r="A1107" s="109"/>
      <c r="B1107" s="109"/>
    </row>
    <row r="1108">
      <c r="A1108" s="109"/>
      <c r="B1108" s="109"/>
    </row>
    <row r="1109">
      <c r="A1109" s="109"/>
      <c r="B1109" s="109"/>
    </row>
    <row r="1110">
      <c r="A1110" s="109"/>
      <c r="B1110" s="109"/>
    </row>
    <row r="1111">
      <c r="A1111" s="109"/>
      <c r="B1111" s="109"/>
    </row>
    <row r="1112">
      <c r="A1112" s="109"/>
      <c r="B1112" s="109"/>
    </row>
    <row r="1113">
      <c r="A1113" s="109"/>
      <c r="B1113" s="109"/>
    </row>
    <row r="1114">
      <c r="A1114" s="109"/>
      <c r="B1114" s="109"/>
    </row>
    <row r="1115">
      <c r="A1115" s="109"/>
      <c r="B1115" s="109"/>
    </row>
    <row r="1116">
      <c r="A1116" s="109"/>
      <c r="B1116" s="109"/>
    </row>
    <row r="1117">
      <c r="A1117" s="109"/>
      <c r="B1117" s="109"/>
    </row>
    <row r="1118">
      <c r="A1118" s="109"/>
      <c r="B1118" s="109"/>
    </row>
    <row r="1119">
      <c r="A1119" s="120"/>
      <c r="B1119" s="109"/>
    </row>
    <row r="1120">
      <c r="B1120" s="109"/>
    </row>
    <row r="1121">
      <c r="B1121" s="109"/>
    </row>
    <row r="1122">
      <c r="B1122" s="109"/>
    </row>
    <row r="1123">
      <c r="B1123" s="109"/>
    </row>
    <row r="1124">
      <c r="B1124" s="109"/>
    </row>
    <row r="1125">
      <c r="B1125" s="120"/>
    </row>
  </sheetData>
  <hyperlinks>
    <hyperlink r:id="rId1" ref="F2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45.13"/>
    <col customWidth="1" min="3" max="3" width="55.63"/>
    <col customWidth="1" min="4" max="4" width="45.88"/>
    <col customWidth="1" min="5" max="5" width="49.75"/>
    <col customWidth="1" min="6" max="6" width="51.0"/>
    <col customWidth="1" min="7" max="7" width="28.38"/>
  </cols>
  <sheetData>
    <row r="1">
      <c r="A1" s="54" t="s">
        <v>17</v>
      </c>
      <c r="B1" s="54" t="s">
        <v>378</v>
      </c>
      <c r="C1" s="54" t="s">
        <v>379</v>
      </c>
      <c r="D1" s="54" t="s">
        <v>380</v>
      </c>
    </row>
    <row r="2" ht="159.75" customHeight="1">
      <c r="A2" s="121" t="s">
        <v>381</v>
      </c>
      <c r="B2" s="54" t="s">
        <v>382</v>
      </c>
      <c r="C2" s="122" t="s">
        <v>383</v>
      </c>
      <c r="D2" s="123" t="s">
        <v>355</v>
      </c>
      <c r="E2" s="122" t="s">
        <v>384</v>
      </c>
    </row>
    <row r="3" ht="159.75" customHeight="1">
      <c r="A3" s="121"/>
      <c r="B3" s="54"/>
      <c r="C3" s="122"/>
      <c r="D3" s="122"/>
      <c r="E3" s="122"/>
    </row>
    <row r="4" ht="195.75" customHeight="1">
      <c r="A4" s="121" t="s">
        <v>385</v>
      </c>
      <c r="B4" s="54" t="s">
        <v>386</v>
      </c>
      <c r="C4" s="73" t="s">
        <v>387</v>
      </c>
      <c r="D4" s="123" t="s">
        <v>355</v>
      </c>
      <c r="E4" s="122" t="s">
        <v>384</v>
      </c>
    </row>
    <row r="5">
      <c r="A5" s="54" t="s">
        <v>388</v>
      </c>
      <c r="B5" s="54" t="s">
        <v>389</v>
      </c>
      <c r="C5" s="122" t="s">
        <v>390</v>
      </c>
    </row>
    <row r="6">
      <c r="A6" s="54" t="s">
        <v>388</v>
      </c>
      <c r="B6" s="54" t="s">
        <v>391</v>
      </c>
      <c r="C6" s="73" t="s">
        <v>392</v>
      </c>
      <c r="E6" s="73" t="s">
        <v>393</v>
      </c>
    </row>
    <row r="7">
      <c r="A7" s="54" t="s">
        <v>388</v>
      </c>
      <c r="B7" s="54" t="s">
        <v>394</v>
      </c>
      <c r="C7" s="73" t="s">
        <v>395</v>
      </c>
      <c r="E7" s="54" t="s">
        <v>371</v>
      </c>
      <c r="F7" s="124" t="s">
        <v>396</v>
      </c>
      <c r="G7" s="125" t="s">
        <v>397</v>
      </c>
    </row>
    <row r="8">
      <c r="A8" s="54" t="s">
        <v>388</v>
      </c>
      <c r="B8" s="54" t="s">
        <v>398</v>
      </c>
      <c r="C8" s="54" t="s">
        <v>399</v>
      </c>
      <c r="F8" s="126" t="s">
        <v>400</v>
      </c>
      <c r="G8" s="127" t="s">
        <v>401</v>
      </c>
    </row>
    <row r="9">
      <c r="A9" s="54" t="s">
        <v>385</v>
      </c>
      <c r="B9" s="54" t="s">
        <v>402</v>
      </c>
      <c r="C9" s="121" t="s">
        <v>403</v>
      </c>
      <c r="F9" s="126" t="s">
        <v>404</v>
      </c>
      <c r="G9" s="127" t="s">
        <v>405</v>
      </c>
    </row>
    <row r="10">
      <c r="F10" s="126" t="s">
        <v>406</v>
      </c>
      <c r="G10" s="127" t="s">
        <v>407</v>
      </c>
    </row>
    <row r="11">
      <c r="F11" s="126" t="s">
        <v>408</v>
      </c>
      <c r="G11" s="127" t="s">
        <v>409</v>
      </c>
    </row>
    <row r="12">
      <c r="F12" s="126" t="s">
        <v>410</v>
      </c>
      <c r="G12" s="127" t="s">
        <v>411</v>
      </c>
    </row>
    <row r="13">
      <c r="F13" s="126" t="s">
        <v>412</v>
      </c>
      <c r="G13" s="127" t="s">
        <v>413</v>
      </c>
    </row>
    <row r="14">
      <c r="F14" s="126" t="s">
        <v>414</v>
      </c>
      <c r="G14" s="127" t="s">
        <v>415</v>
      </c>
    </row>
    <row r="15">
      <c r="F15" s="126" t="s">
        <v>416</v>
      </c>
      <c r="G15" s="127" t="s">
        <v>417</v>
      </c>
    </row>
    <row r="16">
      <c r="F16" s="126" t="s">
        <v>418</v>
      </c>
      <c r="G16" s="127" t="s">
        <v>419</v>
      </c>
    </row>
    <row r="17">
      <c r="F17" s="126" t="s">
        <v>420</v>
      </c>
      <c r="G17" s="127" t="s">
        <v>421</v>
      </c>
    </row>
    <row r="18">
      <c r="F18" s="126" t="s">
        <v>422</v>
      </c>
      <c r="G18" s="127" t="s">
        <v>423</v>
      </c>
    </row>
    <row r="19">
      <c r="F19" s="126" t="s">
        <v>424</v>
      </c>
      <c r="G19" s="127" t="s">
        <v>425</v>
      </c>
    </row>
    <row r="20">
      <c r="F20" s="126" t="s">
        <v>426</v>
      </c>
      <c r="G20" s="127" t="s">
        <v>427</v>
      </c>
    </row>
    <row r="21">
      <c r="F21" s="126" t="s">
        <v>428</v>
      </c>
      <c r="G21" s="127" t="s">
        <v>429</v>
      </c>
    </row>
    <row r="22">
      <c r="F22" s="126" t="s">
        <v>430</v>
      </c>
      <c r="G22" s="127" t="s">
        <v>431</v>
      </c>
    </row>
    <row r="23">
      <c r="F23" s="126" t="s">
        <v>432</v>
      </c>
      <c r="G23" s="127" t="s">
        <v>433</v>
      </c>
    </row>
    <row r="24">
      <c r="F24" s="126" t="s">
        <v>434</v>
      </c>
      <c r="G24" s="127" t="s">
        <v>435</v>
      </c>
    </row>
  </sheetData>
  <hyperlinks>
    <hyperlink r:id="rId1" ref="D2"/>
    <hyperlink r:id="rId2" ref="D4"/>
  </hyperlin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85.0"/>
    <col customWidth="1" min="3" max="3" width="48.25"/>
  </cols>
  <sheetData>
    <row r="1">
      <c r="A1" s="54" t="s">
        <v>436</v>
      </c>
      <c r="B1" s="54" t="s">
        <v>378</v>
      </c>
      <c r="C1" s="54" t="s">
        <v>379</v>
      </c>
    </row>
    <row r="2">
      <c r="A2" s="128" t="s">
        <v>437</v>
      </c>
      <c r="B2" s="54" t="s">
        <v>438</v>
      </c>
      <c r="C2" s="121" t="s">
        <v>439</v>
      </c>
    </row>
    <row r="3">
      <c r="A3" s="54" t="s">
        <v>437</v>
      </c>
      <c r="B3" s="54" t="s">
        <v>440</v>
      </c>
      <c r="C3" s="121" t="s">
        <v>441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58.25"/>
    <col customWidth="1" min="3" max="3" width="53.0"/>
  </cols>
  <sheetData>
    <row r="1">
      <c r="A1" s="54" t="s">
        <v>442</v>
      </c>
      <c r="B1" s="54" t="s">
        <v>378</v>
      </c>
      <c r="C1" s="54" t="s">
        <v>379</v>
      </c>
    </row>
    <row r="2" ht="104.25" customHeight="1">
      <c r="A2" s="121" t="s">
        <v>443</v>
      </c>
      <c r="B2" s="121" t="s">
        <v>444</v>
      </c>
      <c r="C2" s="121" t="s">
        <v>445</v>
      </c>
    </row>
    <row r="3" ht="111.75" customHeight="1">
      <c r="A3" s="121" t="s">
        <v>443</v>
      </c>
      <c r="B3" s="54" t="s">
        <v>444</v>
      </c>
      <c r="C3" s="121" t="s">
        <v>445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0" max="11" width="41.0"/>
    <col customWidth="1" min="12" max="12" width="12.88"/>
  </cols>
  <sheetData>
    <row r="1">
      <c r="A1" s="129" t="s">
        <v>446</v>
      </c>
      <c r="J1" s="130" t="s">
        <v>447</v>
      </c>
      <c r="K1" s="87" t="s">
        <v>316</v>
      </c>
      <c r="L1" s="87" t="s">
        <v>117</v>
      </c>
    </row>
    <row r="2">
      <c r="J2" s="131" t="s">
        <v>448</v>
      </c>
      <c r="K2" s="99" t="s">
        <v>345</v>
      </c>
      <c r="L2" s="100" t="s">
        <v>124</v>
      </c>
    </row>
    <row r="3">
      <c r="A3" s="129" t="s">
        <v>449</v>
      </c>
      <c r="J3" s="132" t="s">
        <v>450</v>
      </c>
      <c r="K3" s="99" t="s">
        <v>239</v>
      </c>
      <c r="L3" s="100" t="s">
        <v>128</v>
      </c>
    </row>
    <row r="4">
      <c r="J4" s="133" t="s">
        <v>451</v>
      </c>
      <c r="K4" s="101" t="s">
        <v>347</v>
      </c>
      <c r="L4" s="90" t="s">
        <v>124</v>
      </c>
    </row>
    <row r="5">
      <c r="A5" s="129" t="s">
        <v>452</v>
      </c>
      <c r="J5" s="134" t="s">
        <v>453</v>
      </c>
      <c r="K5" s="101" t="s">
        <v>348</v>
      </c>
      <c r="L5" s="90" t="s">
        <v>124</v>
      </c>
    </row>
    <row r="6">
      <c r="J6" s="134" t="s">
        <v>454</v>
      </c>
      <c r="K6" s="101" t="s">
        <v>350</v>
      </c>
      <c r="L6" s="90" t="s">
        <v>124</v>
      </c>
    </row>
    <row r="7">
      <c r="J7" s="134" t="s">
        <v>455</v>
      </c>
      <c r="K7" s="101" t="s">
        <v>352</v>
      </c>
      <c r="L7" s="100" t="s">
        <v>124</v>
      </c>
    </row>
    <row r="8">
      <c r="A8" s="124" t="s">
        <v>396</v>
      </c>
      <c r="B8" s="125" t="s">
        <v>397</v>
      </c>
      <c r="J8" s="134" t="s">
        <v>456</v>
      </c>
      <c r="K8" s="102" t="s">
        <v>338</v>
      </c>
      <c r="L8" s="100" t="s">
        <v>128</v>
      </c>
    </row>
    <row r="9">
      <c r="A9" s="126" t="s">
        <v>400</v>
      </c>
      <c r="B9" s="127" t="s">
        <v>401</v>
      </c>
      <c r="J9" s="134" t="s">
        <v>457</v>
      </c>
      <c r="K9" s="102" t="s">
        <v>249</v>
      </c>
      <c r="L9" s="100" t="s">
        <v>124</v>
      </c>
    </row>
    <row r="10">
      <c r="A10" s="126" t="s">
        <v>404</v>
      </c>
      <c r="B10" s="127" t="s">
        <v>405</v>
      </c>
      <c r="J10" s="134" t="s">
        <v>458</v>
      </c>
      <c r="K10" s="100" t="s">
        <v>353</v>
      </c>
      <c r="L10" s="105"/>
    </row>
    <row r="11">
      <c r="A11" s="126" t="s">
        <v>406</v>
      </c>
      <c r="B11" s="127" t="s">
        <v>407</v>
      </c>
      <c r="J11" s="134" t="s">
        <v>458</v>
      </c>
      <c r="K11" s="100" t="s">
        <v>354</v>
      </c>
      <c r="L11" s="105"/>
    </row>
    <row r="12">
      <c r="A12" s="126" t="s">
        <v>408</v>
      </c>
      <c r="B12" s="127" t="s">
        <v>409</v>
      </c>
      <c r="J12" s="134" t="s">
        <v>458</v>
      </c>
      <c r="K12" s="100" t="s">
        <v>356</v>
      </c>
      <c r="L12" s="105"/>
    </row>
    <row r="13">
      <c r="A13" s="126" t="s">
        <v>410</v>
      </c>
      <c r="B13" s="127" t="s">
        <v>411</v>
      </c>
      <c r="J13" s="134" t="s">
        <v>459</v>
      </c>
      <c r="K13" s="99" t="s">
        <v>324</v>
      </c>
      <c r="L13" s="90" t="s">
        <v>128</v>
      </c>
    </row>
    <row r="14">
      <c r="A14" s="126" t="s">
        <v>412</v>
      </c>
      <c r="B14" s="127" t="s">
        <v>413</v>
      </c>
      <c r="J14" s="135" t="s">
        <v>460</v>
      </c>
      <c r="K14" s="118" t="s">
        <v>461</v>
      </c>
      <c r="L14" s="106" t="s">
        <v>124</v>
      </c>
    </row>
    <row r="15">
      <c r="A15" s="126" t="s">
        <v>414</v>
      </c>
      <c r="B15" s="127" t="s">
        <v>415</v>
      </c>
      <c r="J15" s="134" t="s">
        <v>462</v>
      </c>
      <c r="K15" s="99" t="s">
        <v>357</v>
      </c>
      <c r="L15" s="90" t="s">
        <v>124</v>
      </c>
    </row>
    <row r="16">
      <c r="A16" s="126" t="s">
        <v>416</v>
      </c>
      <c r="B16" s="127" t="s">
        <v>417</v>
      </c>
      <c r="J16" s="134" t="s">
        <v>463</v>
      </c>
      <c r="K16" s="99" t="s">
        <v>358</v>
      </c>
      <c r="L16" s="105"/>
    </row>
    <row r="17">
      <c r="A17" s="126" t="s">
        <v>418</v>
      </c>
      <c r="B17" s="127" t="s">
        <v>419</v>
      </c>
      <c r="J17" s="136"/>
      <c r="K17" s="100" t="s">
        <v>359</v>
      </c>
      <c r="L17" s="105"/>
    </row>
    <row r="18">
      <c r="A18" s="126" t="s">
        <v>420</v>
      </c>
      <c r="B18" s="127" t="s">
        <v>421</v>
      </c>
      <c r="J18" s="134" t="s">
        <v>464</v>
      </c>
      <c r="K18" s="99" t="s">
        <v>360</v>
      </c>
      <c r="L18" s="90" t="s">
        <v>124</v>
      </c>
    </row>
    <row r="19">
      <c r="A19" s="126" t="s">
        <v>422</v>
      </c>
      <c r="B19" s="127" t="s">
        <v>423</v>
      </c>
      <c r="J19" s="134" t="s">
        <v>465</v>
      </c>
      <c r="K19" s="99" t="s">
        <v>361</v>
      </c>
      <c r="L19" s="90" t="s">
        <v>124</v>
      </c>
    </row>
    <row r="20">
      <c r="A20" s="126" t="s">
        <v>424</v>
      </c>
      <c r="B20" s="127" t="s">
        <v>425</v>
      </c>
      <c r="J20" s="134" t="s">
        <v>466</v>
      </c>
      <c r="K20" s="99" t="s">
        <v>258</v>
      </c>
      <c r="L20" s="90" t="s">
        <v>128</v>
      </c>
    </row>
    <row r="21">
      <c r="A21" s="126" t="s">
        <v>426</v>
      </c>
      <c r="B21" s="127" t="s">
        <v>427</v>
      </c>
      <c r="J21" s="134" t="s">
        <v>261</v>
      </c>
      <c r="K21" s="102" t="s">
        <v>362</v>
      </c>
      <c r="L21" s="100" t="s">
        <v>124</v>
      </c>
    </row>
    <row r="22">
      <c r="A22" s="126" t="s">
        <v>428</v>
      </c>
      <c r="B22" s="127" t="s">
        <v>429</v>
      </c>
      <c r="J22" s="134" t="s">
        <v>467</v>
      </c>
      <c r="K22" s="102" t="s">
        <v>363</v>
      </c>
      <c r="L22" s="90" t="s">
        <v>124</v>
      </c>
    </row>
    <row r="23">
      <c r="A23" s="126" t="s">
        <v>430</v>
      </c>
      <c r="B23" s="127" t="s">
        <v>431</v>
      </c>
      <c r="J23" s="134" t="s">
        <v>265</v>
      </c>
      <c r="K23" s="102" t="s">
        <v>266</v>
      </c>
      <c r="L23" s="100" t="s">
        <v>128</v>
      </c>
    </row>
    <row r="24">
      <c r="A24" s="126" t="s">
        <v>432</v>
      </c>
      <c r="B24" s="127" t="s">
        <v>433</v>
      </c>
      <c r="J24" s="134" t="s">
        <v>268</v>
      </c>
      <c r="K24" s="102" t="s">
        <v>364</v>
      </c>
      <c r="L24" s="100" t="s">
        <v>124</v>
      </c>
    </row>
    <row r="25">
      <c r="A25" s="126" t="s">
        <v>434</v>
      </c>
      <c r="B25" s="127" t="s">
        <v>435</v>
      </c>
      <c r="J25" s="134" t="s">
        <v>270</v>
      </c>
      <c r="K25" s="102" t="s">
        <v>365</v>
      </c>
      <c r="L25" s="90" t="s">
        <v>124</v>
      </c>
    </row>
    <row r="26">
      <c r="J26" s="134" t="s">
        <v>273</v>
      </c>
      <c r="K26" s="102" t="s">
        <v>366</v>
      </c>
      <c r="L26" s="100" t="s">
        <v>124</v>
      </c>
    </row>
    <row r="27">
      <c r="J27" s="134" t="s">
        <v>367</v>
      </c>
      <c r="K27" s="102" t="s">
        <v>367</v>
      </c>
      <c r="L27" s="90" t="s">
        <v>124</v>
      </c>
    </row>
    <row r="28">
      <c r="J28" s="134" t="s">
        <v>276</v>
      </c>
      <c r="K28" s="102" t="s">
        <v>130</v>
      </c>
      <c r="L28" s="100" t="s">
        <v>124</v>
      </c>
    </row>
    <row r="29">
      <c r="J29" s="134" t="s">
        <v>468</v>
      </c>
      <c r="K29" s="102" t="s">
        <v>368</v>
      </c>
      <c r="L29" s="100" t="s">
        <v>124</v>
      </c>
    </row>
    <row r="30">
      <c r="J30" s="134" t="s">
        <v>277</v>
      </c>
      <c r="K30" s="102" t="s">
        <v>278</v>
      </c>
      <c r="L30" s="100" t="s">
        <v>124</v>
      </c>
    </row>
    <row r="31">
      <c r="J31" s="137" t="s">
        <v>469</v>
      </c>
      <c r="K31" s="105"/>
      <c r="L31" s="109"/>
    </row>
    <row r="32">
      <c r="J32" s="138"/>
      <c r="K32" s="105"/>
      <c r="L32" s="109"/>
    </row>
    <row r="33">
      <c r="J33" s="138"/>
      <c r="K33" s="105"/>
      <c r="L33" s="109"/>
    </row>
    <row r="34">
      <c r="J34" s="139" t="s">
        <v>470</v>
      </c>
      <c r="K34" s="140"/>
      <c r="L34" s="107" t="s">
        <v>124</v>
      </c>
    </row>
    <row r="35">
      <c r="J35" s="141" t="s">
        <v>471</v>
      </c>
      <c r="K35" s="110"/>
      <c r="L35" s="110"/>
    </row>
    <row r="36">
      <c r="J36" s="142" t="s">
        <v>472</v>
      </c>
      <c r="K36" s="108" t="s">
        <v>342</v>
      </c>
      <c r="L36" s="111" t="s">
        <v>128</v>
      </c>
    </row>
    <row r="37">
      <c r="J37" s="133" t="s">
        <v>450</v>
      </c>
      <c r="K37" s="99" t="s">
        <v>370</v>
      </c>
      <c r="L37" s="90" t="s">
        <v>128</v>
      </c>
    </row>
    <row r="38">
      <c r="J38" s="133" t="s">
        <v>451</v>
      </c>
      <c r="K38" s="99" t="s">
        <v>347</v>
      </c>
      <c r="L38" s="90" t="s">
        <v>124</v>
      </c>
    </row>
    <row r="39">
      <c r="J39" s="143" t="s">
        <v>453</v>
      </c>
      <c r="K39" s="99" t="s">
        <v>348</v>
      </c>
      <c r="L39" s="90" t="s">
        <v>124</v>
      </c>
    </row>
    <row r="40">
      <c r="J40" s="143" t="s">
        <v>454</v>
      </c>
      <c r="K40" s="99" t="s">
        <v>350</v>
      </c>
      <c r="L40" s="90" t="s">
        <v>124</v>
      </c>
    </row>
    <row r="41">
      <c r="J41" s="143" t="s">
        <v>455</v>
      </c>
      <c r="K41" s="99" t="s">
        <v>352</v>
      </c>
      <c r="L41" s="100" t="s">
        <v>124</v>
      </c>
    </row>
    <row r="42">
      <c r="J42" s="143" t="s">
        <v>473</v>
      </c>
      <c r="K42" s="99" t="s">
        <v>286</v>
      </c>
      <c r="L42" s="100" t="s">
        <v>128</v>
      </c>
    </row>
    <row r="43">
      <c r="J43" s="143" t="s">
        <v>474</v>
      </c>
      <c r="K43" s="99" t="s">
        <v>289</v>
      </c>
      <c r="L43" s="100" t="s">
        <v>128</v>
      </c>
    </row>
    <row r="44">
      <c r="J44" s="144" t="s">
        <v>475</v>
      </c>
      <c r="K44" s="111" t="s">
        <v>371</v>
      </c>
      <c r="L44" s="90" t="s">
        <v>128</v>
      </c>
    </row>
    <row r="45">
      <c r="J45" s="145" t="s">
        <v>476</v>
      </c>
      <c r="K45" s="117" t="s">
        <v>376</v>
      </c>
      <c r="L45" s="112" t="s">
        <v>128</v>
      </c>
    </row>
    <row r="46">
      <c r="J46" s="143" t="s">
        <v>301</v>
      </c>
      <c r="K46" s="102" t="s">
        <v>301</v>
      </c>
      <c r="L46" s="100" t="s">
        <v>124</v>
      </c>
    </row>
    <row r="47">
      <c r="J47" s="143" t="s">
        <v>477</v>
      </c>
      <c r="K47" s="111" t="s">
        <v>307</v>
      </c>
      <c r="L47" s="100" t="s">
        <v>124</v>
      </c>
    </row>
    <row r="48">
      <c r="J48" s="143" t="s">
        <v>478</v>
      </c>
      <c r="K48" s="102" t="s">
        <v>297</v>
      </c>
      <c r="L48" s="100" t="s">
        <v>124</v>
      </c>
    </row>
    <row r="49">
      <c r="J49" s="143" t="s">
        <v>479</v>
      </c>
      <c r="K49" s="102" t="s">
        <v>299</v>
      </c>
      <c r="L49" s="100" t="s">
        <v>124</v>
      </c>
    </row>
    <row r="50">
      <c r="J50" s="143" t="s">
        <v>480</v>
      </c>
      <c r="K50" s="111" t="s">
        <v>309</v>
      </c>
      <c r="L50" s="100" t="s">
        <v>124</v>
      </c>
    </row>
    <row r="51">
      <c r="J51" s="143" t="s">
        <v>481</v>
      </c>
      <c r="K51" s="102" t="s">
        <v>311</v>
      </c>
      <c r="L51" s="100" t="s">
        <v>124</v>
      </c>
    </row>
    <row r="52">
      <c r="J52" s="143" t="s">
        <v>482</v>
      </c>
      <c r="K52" s="102" t="s">
        <v>313</v>
      </c>
      <c r="L52" s="100" t="s">
        <v>124</v>
      </c>
    </row>
    <row r="53">
      <c r="J53" s="143" t="s">
        <v>483</v>
      </c>
      <c r="K53" s="102" t="s">
        <v>372</v>
      </c>
      <c r="L53" s="100" t="s">
        <v>124</v>
      </c>
    </row>
    <row r="54">
      <c r="J54" s="143" t="s">
        <v>484</v>
      </c>
      <c r="K54" s="113" t="s">
        <v>373</v>
      </c>
      <c r="L54" s="109"/>
    </row>
    <row r="55">
      <c r="J55" s="134" t="s">
        <v>463</v>
      </c>
      <c r="K55" s="114" t="s">
        <v>333</v>
      </c>
      <c r="L55" s="100" t="s">
        <v>128</v>
      </c>
    </row>
    <row r="56">
      <c r="J56" s="146" t="s">
        <v>462</v>
      </c>
      <c r="K56" s="105"/>
      <c r="L56" s="100" t="s">
        <v>124</v>
      </c>
    </row>
    <row r="57">
      <c r="J57" s="135" t="s">
        <v>459</v>
      </c>
      <c r="K57" s="109"/>
      <c r="L57" s="100" t="s">
        <v>124</v>
      </c>
    </row>
    <row r="58">
      <c r="J58" s="135" t="s">
        <v>462</v>
      </c>
      <c r="K58" s="109"/>
      <c r="L58" s="100" t="s">
        <v>124</v>
      </c>
    </row>
    <row r="59">
      <c r="J59" s="135" t="s">
        <v>464</v>
      </c>
      <c r="K59" s="109"/>
      <c r="L59" s="100" t="s">
        <v>124</v>
      </c>
    </row>
    <row r="60">
      <c r="J60" s="135" t="s">
        <v>465</v>
      </c>
      <c r="K60" s="109"/>
      <c r="L60" s="100" t="s">
        <v>124</v>
      </c>
    </row>
    <row r="61">
      <c r="J61" s="136"/>
      <c r="K61" s="105"/>
      <c r="L61" s="109"/>
    </row>
    <row r="62">
      <c r="J62" s="139" t="s">
        <v>470</v>
      </c>
      <c r="K62" s="115" t="s">
        <v>374</v>
      </c>
      <c r="L62" s="107" t="s">
        <v>124</v>
      </c>
    </row>
    <row r="63">
      <c r="J63" s="143" t="s">
        <v>485</v>
      </c>
      <c r="K63" s="109"/>
      <c r="L63" s="109"/>
    </row>
    <row r="64">
      <c r="J64" s="136"/>
      <c r="K64" s="108" t="s">
        <v>375</v>
      </c>
      <c r="L64" s="109"/>
    </row>
    <row r="65">
      <c r="J65" s="143" t="s">
        <v>450</v>
      </c>
      <c r="K65" s="116" t="s">
        <v>370</v>
      </c>
      <c r="L65" s="100" t="s">
        <v>128</v>
      </c>
    </row>
    <row r="66">
      <c r="J66" s="143" t="s">
        <v>451</v>
      </c>
      <c r="K66" s="116" t="s">
        <v>347</v>
      </c>
      <c r="L66" s="100" t="s">
        <v>124</v>
      </c>
    </row>
    <row r="67">
      <c r="J67" s="143" t="s">
        <v>453</v>
      </c>
      <c r="K67" s="116" t="s">
        <v>348</v>
      </c>
      <c r="L67" s="100" t="s">
        <v>124</v>
      </c>
    </row>
    <row r="68">
      <c r="J68" s="143" t="s">
        <v>454</v>
      </c>
      <c r="K68" s="116" t="s">
        <v>350</v>
      </c>
      <c r="L68" s="100" t="s">
        <v>124</v>
      </c>
    </row>
    <row r="69">
      <c r="J69" s="143" t="s">
        <v>455</v>
      </c>
      <c r="K69" s="116" t="s">
        <v>352</v>
      </c>
      <c r="L69" s="100" t="s">
        <v>124</v>
      </c>
    </row>
    <row r="70">
      <c r="J70" s="143" t="s">
        <v>473</v>
      </c>
      <c r="K70" s="116" t="s">
        <v>286</v>
      </c>
      <c r="L70" s="100" t="s">
        <v>128</v>
      </c>
    </row>
    <row r="71">
      <c r="J71" s="143" t="s">
        <v>474</v>
      </c>
      <c r="K71" s="116" t="s">
        <v>289</v>
      </c>
      <c r="L71" s="100" t="s">
        <v>128</v>
      </c>
    </row>
    <row r="72">
      <c r="J72" s="143" t="s">
        <v>475</v>
      </c>
      <c r="K72" s="100" t="s">
        <v>371</v>
      </c>
      <c r="L72" s="100" t="s">
        <v>128</v>
      </c>
    </row>
    <row r="73">
      <c r="J73" s="145" t="s">
        <v>476</v>
      </c>
      <c r="K73" s="117" t="s">
        <v>376</v>
      </c>
      <c r="L73" s="118" t="s">
        <v>128</v>
      </c>
    </row>
    <row r="74">
      <c r="J74" s="143" t="s">
        <v>301</v>
      </c>
      <c r="K74" s="100" t="s">
        <v>301</v>
      </c>
      <c r="L74" s="100" t="s">
        <v>124</v>
      </c>
    </row>
    <row r="75">
      <c r="J75" s="143" t="s">
        <v>477</v>
      </c>
      <c r="K75" s="100" t="s">
        <v>307</v>
      </c>
      <c r="L75" s="100" t="s">
        <v>124</v>
      </c>
    </row>
    <row r="76">
      <c r="J76" s="143" t="s">
        <v>478</v>
      </c>
      <c r="K76" s="100" t="s">
        <v>297</v>
      </c>
      <c r="L76" s="100" t="s">
        <v>124</v>
      </c>
    </row>
    <row r="77">
      <c r="J77" s="143" t="s">
        <v>479</v>
      </c>
      <c r="K77" s="100" t="s">
        <v>299</v>
      </c>
      <c r="L77" s="100" t="s">
        <v>124</v>
      </c>
    </row>
    <row r="78">
      <c r="J78" s="143" t="s">
        <v>480</v>
      </c>
      <c r="K78" s="100" t="s">
        <v>309</v>
      </c>
      <c r="L78" s="100" t="s">
        <v>124</v>
      </c>
    </row>
    <row r="79">
      <c r="J79" s="143" t="s">
        <v>481</v>
      </c>
      <c r="K79" s="100" t="s">
        <v>311</v>
      </c>
      <c r="L79" s="100" t="s">
        <v>124</v>
      </c>
    </row>
    <row r="80">
      <c r="J80" s="143" t="s">
        <v>482</v>
      </c>
      <c r="K80" s="100" t="s">
        <v>313</v>
      </c>
      <c r="L80" s="100" t="s">
        <v>124</v>
      </c>
    </row>
    <row r="81">
      <c r="J81" s="143" t="s">
        <v>483</v>
      </c>
      <c r="K81" s="100" t="s">
        <v>372</v>
      </c>
      <c r="L81" s="100" t="s">
        <v>124</v>
      </c>
    </row>
    <row r="82">
      <c r="J82" s="143" t="s">
        <v>484</v>
      </c>
      <c r="K82" s="113" t="s">
        <v>373</v>
      </c>
      <c r="L82" s="109"/>
    </row>
    <row r="83">
      <c r="J83" s="136"/>
      <c r="K83" s="105"/>
      <c r="L83" s="109"/>
    </row>
    <row r="84">
      <c r="J84" s="147" t="s">
        <v>486</v>
      </c>
      <c r="K84" s="119" t="s">
        <v>377</v>
      </c>
      <c r="L84" s="109"/>
    </row>
    <row r="85">
      <c r="J85" s="143" t="s">
        <v>450</v>
      </c>
      <c r="K85" s="116" t="s">
        <v>370</v>
      </c>
      <c r="L85" s="109"/>
    </row>
    <row r="86">
      <c r="J86" s="143" t="s">
        <v>451</v>
      </c>
      <c r="K86" s="116" t="s">
        <v>347</v>
      </c>
      <c r="L86" s="109"/>
    </row>
    <row r="87">
      <c r="J87" s="143" t="s">
        <v>453</v>
      </c>
      <c r="K87" s="116" t="s">
        <v>348</v>
      </c>
      <c r="L87" s="109"/>
    </row>
    <row r="88">
      <c r="J88" s="143" t="s">
        <v>454</v>
      </c>
      <c r="K88" s="116" t="s">
        <v>350</v>
      </c>
      <c r="L88" s="109"/>
    </row>
    <row r="89">
      <c r="J89" s="143" t="s">
        <v>455</v>
      </c>
      <c r="K89" s="116" t="s">
        <v>352</v>
      </c>
      <c r="L89" s="109"/>
    </row>
    <row r="90">
      <c r="J90" s="143" t="s">
        <v>473</v>
      </c>
      <c r="K90" s="116" t="s">
        <v>286</v>
      </c>
      <c r="L90" s="109"/>
    </row>
    <row r="91">
      <c r="J91" s="143" t="s">
        <v>474</v>
      </c>
      <c r="K91" s="116" t="s">
        <v>289</v>
      </c>
      <c r="L91" s="109"/>
    </row>
    <row r="92">
      <c r="J92" s="143" t="s">
        <v>475</v>
      </c>
      <c r="K92" s="100" t="s">
        <v>371</v>
      </c>
      <c r="L92" s="109"/>
    </row>
    <row r="93">
      <c r="J93" s="145" t="s">
        <v>476</v>
      </c>
      <c r="K93" s="117" t="s">
        <v>376</v>
      </c>
      <c r="L93" s="109"/>
    </row>
    <row r="94">
      <c r="J94" s="143" t="s">
        <v>301</v>
      </c>
      <c r="K94" s="100" t="s">
        <v>301</v>
      </c>
      <c r="L94" s="109"/>
    </row>
    <row r="95">
      <c r="J95" s="143" t="s">
        <v>477</v>
      </c>
      <c r="K95" s="100" t="s">
        <v>307</v>
      </c>
      <c r="L95" s="109"/>
    </row>
    <row r="96">
      <c r="J96" s="143" t="s">
        <v>478</v>
      </c>
      <c r="K96" s="100" t="s">
        <v>297</v>
      </c>
      <c r="L96" s="109"/>
    </row>
    <row r="97">
      <c r="J97" s="143" t="s">
        <v>479</v>
      </c>
      <c r="K97" s="100" t="s">
        <v>299</v>
      </c>
      <c r="L97" s="109"/>
    </row>
    <row r="98">
      <c r="J98" s="143" t="s">
        <v>480</v>
      </c>
      <c r="K98" s="100" t="s">
        <v>309</v>
      </c>
      <c r="L98" s="109"/>
    </row>
    <row r="99">
      <c r="J99" s="143" t="s">
        <v>481</v>
      </c>
      <c r="K99" s="100" t="s">
        <v>311</v>
      </c>
      <c r="L99" s="109"/>
    </row>
    <row r="100">
      <c r="J100" s="143" t="s">
        <v>482</v>
      </c>
      <c r="K100" s="100" t="s">
        <v>313</v>
      </c>
      <c r="L100" s="109"/>
    </row>
    <row r="101">
      <c r="J101" s="143" t="s">
        <v>483</v>
      </c>
      <c r="K101" s="100" t="s">
        <v>372</v>
      </c>
      <c r="L101" s="109"/>
    </row>
    <row r="102">
      <c r="J102" s="143" t="s">
        <v>484</v>
      </c>
      <c r="K102" s="113" t="s">
        <v>373</v>
      </c>
      <c r="L102" s="109"/>
    </row>
    <row r="103">
      <c r="J103" s="136"/>
      <c r="K103" s="105"/>
      <c r="L103" s="109"/>
    </row>
    <row r="104">
      <c r="J104" s="136"/>
      <c r="K104" s="105"/>
      <c r="L104" s="109"/>
    </row>
    <row r="105">
      <c r="J105" s="136"/>
      <c r="K105" s="105"/>
      <c r="L105" s="109"/>
    </row>
    <row r="106">
      <c r="J106" s="136"/>
      <c r="K106" s="105"/>
      <c r="L106" s="109"/>
    </row>
    <row r="107">
      <c r="J107" s="136"/>
      <c r="K107" s="105"/>
      <c r="L107" s="109"/>
    </row>
    <row r="108">
      <c r="J108" s="136"/>
      <c r="K108" s="105"/>
      <c r="L108" s="109"/>
    </row>
    <row r="109">
      <c r="J109" s="136"/>
      <c r="K109" s="105"/>
      <c r="L109" s="109"/>
    </row>
    <row r="110">
      <c r="J110" s="136"/>
      <c r="K110" s="105"/>
      <c r="L110" s="109"/>
    </row>
    <row r="111">
      <c r="J111" s="136"/>
      <c r="K111" s="105"/>
      <c r="L111" s="109"/>
    </row>
    <row r="112">
      <c r="J112" s="136"/>
      <c r="K112" s="105"/>
      <c r="L112" s="109"/>
    </row>
    <row r="113">
      <c r="J113" s="136"/>
      <c r="K113" s="105"/>
      <c r="L113" s="109"/>
    </row>
    <row r="114">
      <c r="J114" s="136"/>
      <c r="K114" s="105"/>
      <c r="L114" s="109"/>
    </row>
    <row r="115">
      <c r="J115" s="136"/>
      <c r="K115" s="105"/>
      <c r="L115" s="109"/>
    </row>
    <row r="116">
      <c r="J116" s="136"/>
      <c r="K116" s="105"/>
      <c r="L116" s="109"/>
    </row>
    <row r="117">
      <c r="J117" s="136"/>
      <c r="K117" s="105"/>
      <c r="L117" s="109"/>
    </row>
    <row r="118">
      <c r="J118" s="136"/>
      <c r="K118" s="105"/>
      <c r="L118" s="109"/>
    </row>
    <row r="119">
      <c r="J119" s="136"/>
      <c r="K119" s="105"/>
      <c r="L119" s="109"/>
    </row>
    <row r="120">
      <c r="J120" s="136"/>
      <c r="K120" s="105"/>
      <c r="L120" s="109"/>
    </row>
    <row r="121">
      <c r="J121" s="136"/>
      <c r="K121" s="105"/>
      <c r="L121" s="109"/>
    </row>
    <row r="122">
      <c r="J122" s="136"/>
      <c r="K122" s="105"/>
      <c r="L122" s="109"/>
    </row>
    <row r="123">
      <c r="J123" s="136"/>
      <c r="K123" s="105"/>
      <c r="L123" s="109"/>
    </row>
    <row r="124">
      <c r="J124" s="136"/>
      <c r="K124" s="105"/>
      <c r="L124" s="109"/>
    </row>
    <row r="125">
      <c r="J125" s="136"/>
      <c r="K125" s="105"/>
      <c r="L125" s="109"/>
    </row>
    <row r="126">
      <c r="J126" s="136"/>
      <c r="K126" s="105"/>
      <c r="L126" s="109"/>
    </row>
    <row r="127">
      <c r="J127" s="136"/>
      <c r="K127" s="105"/>
      <c r="L127" s="109"/>
    </row>
    <row r="128">
      <c r="J128" s="136"/>
      <c r="K128" s="105"/>
      <c r="L128" s="109"/>
    </row>
    <row r="129">
      <c r="J129" s="136"/>
      <c r="K129" s="105"/>
      <c r="L129" s="109"/>
    </row>
    <row r="130">
      <c r="J130" s="136"/>
      <c r="K130" s="105"/>
      <c r="L130" s="109"/>
    </row>
    <row r="131">
      <c r="J131" s="148" t="s">
        <v>487</v>
      </c>
      <c r="K131" s="105"/>
      <c r="L131" s="109"/>
    </row>
    <row r="132">
      <c r="J132" s="149" t="s">
        <v>488</v>
      </c>
      <c r="K132" s="105"/>
      <c r="L132" s="109"/>
    </row>
    <row r="133">
      <c r="J133" s="150" t="s">
        <v>489</v>
      </c>
      <c r="K133" s="105"/>
      <c r="L133" s="109"/>
    </row>
    <row r="134">
      <c r="J134" s="149" t="s">
        <v>490</v>
      </c>
      <c r="K134" s="105"/>
      <c r="L134" s="109"/>
    </row>
    <row r="135">
      <c r="J135" s="136"/>
      <c r="K135" s="105"/>
      <c r="L135" s="109"/>
    </row>
    <row r="136">
      <c r="J136" s="136"/>
      <c r="K136" s="105"/>
      <c r="L136" s="109"/>
    </row>
    <row r="137">
      <c r="J137" s="138"/>
      <c r="K137" s="105"/>
      <c r="L137" s="109"/>
    </row>
    <row r="138">
      <c r="J138" s="138"/>
      <c r="K138" s="105"/>
      <c r="L138" s="109"/>
    </row>
    <row r="139">
      <c r="J139" s="138"/>
      <c r="K139" s="105"/>
      <c r="L139" s="109"/>
    </row>
    <row r="140">
      <c r="J140" s="138"/>
      <c r="K140" s="105"/>
      <c r="L140" s="109"/>
    </row>
    <row r="141">
      <c r="J141" s="138"/>
      <c r="K141" s="109"/>
      <c r="L141" s="109"/>
    </row>
    <row r="142">
      <c r="J142" s="138"/>
      <c r="K142" s="105"/>
      <c r="L142" s="109"/>
    </row>
    <row r="143">
      <c r="J143" s="138"/>
      <c r="K143" s="109"/>
      <c r="L143" s="109"/>
    </row>
    <row r="144">
      <c r="J144" s="138"/>
      <c r="K144" s="105"/>
      <c r="L144" s="109"/>
    </row>
    <row r="145">
      <c r="J145" s="138"/>
      <c r="K145" s="105"/>
      <c r="L145" s="109"/>
    </row>
    <row r="146">
      <c r="J146" s="138"/>
      <c r="K146" s="105"/>
      <c r="L146" s="109"/>
    </row>
    <row r="147">
      <c r="J147" s="138"/>
      <c r="K147" s="105"/>
      <c r="L147" s="109"/>
    </row>
    <row r="148">
      <c r="J148" s="138"/>
      <c r="K148" s="105"/>
      <c r="L148" s="109"/>
    </row>
    <row r="149">
      <c r="J149" s="138"/>
      <c r="K149" s="105"/>
      <c r="L149" s="109"/>
    </row>
    <row r="150">
      <c r="J150" s="138"/>
      <c r="K150" s="105"/>
      <c r="L150" s="109"/>
    </row>
    <row r="151">
      <c r="J151" s="138"/>
      <c r="K151" s="105"/>
      <c r="L151" s="109"/>
    </row>
    <row r="152">
      <c r="J152" s="138"/>
      <c r="K152" s="105"/>
      <c r="L152" s="109"/>
    </row>
    <row r="153">
      <c r="J153" s="138"/>
      <c r="K153" s="105"/>
      <c r="L153" s="109"/>
    </row>
    <row r="154">
      <c r="J154" s="138"/>
      <c r="K154" s="105"/>
      <c r="L154" s="109"/>
    </row>
    <row r="155">
      <c r="J155" s="136"/>
      <c r="K155" s="105"/>
      <c r="L155" s="109"/>
    </row>
    <row r="156">
      <c r="J156" s="138"/>
      <c r="K156" s="105"/>
      <c r="L156" s="109"/>
    </row>
    <row r="157">
      <c r="J157" s="136"/>
      <c r="K157" s="105"/>
      <c r="L157" s="109"/>
    </row>
    <row r="158">
      <c r="J158" s="136"/>
      <c r="K158" s="105"/>
      <c r="L158" s="109"/>
    </row>
    <row r="159">
      <c r="J159" s="138"/>
      <c r="K159" s="105"/>
      <c r="L159" s="109"/>
    </row>
    <row r="160">
      <c r="J160" s="136"/>
      <c r="K160" s="105"/>
      <c r="L160" s="109"/>
    </row>
    <row r="161">
      <c r="J161" s="136"/>
      <c r="K161" s="105"/>
      <c r="L161" s="109"/>
    </row>
    <row r="162">
      <c r="J162" s="138"/>
      <c r="K162" s="105"/>
      <c r="L162" s="109"/>
    </row>
    <row r="163">
      <c r="J163" s="136"/>
      <c r="K163" s="109"/>
      <c r="L163" s="109"/>
    </row>
    <row r="164">
      <c r="J164" s="138"/>
      <c r="K164" s="105"/>
      <c r="L164" s="109"/>
    </row>
    <row r="165">
      <c r="J165" s="138"/>
      <c r="K165" s="105"/>
      <c r="L165" s="109"/>
    </row>
    <row r="166">
      <c r="J166" s="138"/>
      <c r="K166" s="105"/>
      <c r="L166" s="109"/>
    </row>
    <row r="167">
      <c r="J167" s="138"/>
      <c r="K167" s="105"/>
      <c r="L167" s="109"/>
    </row>
    <row r="168">
      <c r="J168" s="138"/>
      <c r="K168" s="105"/>
      <c r="L168" s="109"/>
    </row>
    <row r="169">
      <c r="J169" s="138"/>
      <c r="K169" s="105"/>
      <c r="L169" s="109"/>
    </row>
    <row r="170">
      <c r="J170" s="138"/>
      <c r="K170" s="105"/>
      <c r="L170" s="109"/>
    </row>
    <row r="171">
      <c r="J171" s="138"/>
      <c r="K171" s="105"/>
      <c r="L171" s="109"/>
    </row>
    <row r="172">
      <c r="J172" s="138"/>
      <c r="K172" s="105"/>
      <c r="L172" s="109"/>
    </row>
    <row r="173">
      <c r="J173" s="138"/>
      <c r="K173" s="105"/>
      <c r="L173" s="109"/>
    </row>
    <row r="174">
      <c r="J174" s="138"/>
      <c r="K174" s="105"/>
      <c r="L174" s="109"/>
    </row>
    <row r="175">
      <c r="J175" s="138"/>
      <c r="K175" s="105"/>
      <c r="L175" s="109"/>
    </row>
    <row r="176">
      <c r="J176" s="138"/>
      <c r="K176" s="105"/>
      <c r="L176" s="109"/>
    </row>
    <row r="177">
      <c r="J177" s="138"/>
      <c r="K177" s="105"/>
      <c r="L177" s="109"/>
    </row>
    <row r="178">
      <c r="J178" s="138"/>
      <c r="K178" s="105"/>
      <c r="L178" s="109"/>
    </row>
    <row r="179">
      <c r="J179" s="138"/>
      <c r="K179" s="105"/>
      <c r="L179" s="109"/>
    </row>
    <row r="180">
      <c r="J180" s="138"/>
      <c r="K180" s="105"/>
      <c r="L180" s="109"/>
    </row>
    <row r="181">
      <c r="J181" s="138"/>
      <c r="K181" s="105"/>
      <c r="L181" s="109"/>
    </row>
    <row r="182">
      <c r="J182" s="138"/>
      <c r="K182" s="105"/>
      <c r="L182" s="109"/>
    </row>
    <row r="183">
      <c r="J183" s="138"/>
      <c r="K183" s="105"/>
      <c r="L183" s="109"/>
    </row>
    <row r="184">
      <c r="J184" s="138"/>
      <c r="K184" s="105"/>
      <c r="L184" s="109"/>
    </row>
    <row r="185">
      <c r="J185" s="138"/>
      <c r="K185" s="105"/>
      <c r="L185" s="109"/>
    </row>
    <row r="186">
      <c r="J186" s="138"/>
      <c r="K186" s="105"/>
      <c r="L186" s="109"/>
    </row>
    <row r="187">
      <c r="J187" s="138"/>
      <c r="K187" s="105"/>
      <c r="L187" s="109"/>
    </row>
    <row r="188">
      <c r="J188" s="138"/>
      <c r="K188" s="105"/>
      <c r="L188" s="109"/>
    </row>
    <row r="189">
      <c r="J189" s="138"/>
      <c r="K189" s="105"/>
      <c r="L189" s="109"/>
    </row>
    <row r="190">
      <c r="J190" s="138"/>
      <c r="K190" s="105"/>
      <c r="L190" s="109"/>
    </row>
    <row r="191">
      <c r="J191" s="138"/>
      <c r="K191" s="105"/>
      <c r="L191" s="109"/>
    </row>
    <row r="192">
      <c r="J192" s="138"/>
      <c r="K192" s="105"/>
      <c r="L192" s="109"/>
    </row>
    <row r="193">
      <c r="J193" s="138"/>
      <c r="K193" s="105"/>
      <c r="L193" s="109"/>
    </row>
    <row r="194">
      <c r="J194" s="138"/>
      <c r="K194" s="105"/>
      <c r="L194" s="109"/>
    </row>
    <row r="195">
      <c r="J195" s="138"/>
      <c r="K195" s="105"/>
      <c r="L195" s="109"/>
    </row>
    <row r="196">
      <c r="J196" s="138"/>
      <c r="K196" s="105"/>
      <c r="L196" s="109"/>
    </row>
    <row r="197">
      <c r="J197" s="138"/>
      <c r="K197" s="105"/>
      <c r="L197" s="109"/>
    </row>
    <row r="198">
      <c r="J198" s="138"/>
      <c r="K198" s="105"/>
      <c r="L198" s="109"/>
    </row>
    <row r="199">
      <c r="J199" s="138"/>
      <c r="K199" s="105"/>
      <c r="L199" s="109"/>
    </row>
    <row r="200">
      <c r="J200" s="138"/>
      <c r="K200" s="105"/>
      <c r="L200" s="109"/>
    </row>
    <row r="201">
      <c r="J201" s="138"/>
      <c r="K201" s="105"/>
      <c r="L201" s="109"/>
    </row>
    <row r="202">
      <c r="J202" s="138"/>
      <c r="K202" s="105"/>
      <c r="L202" s="109"/>
    </row>
    <row r="203">
      <c r="J203" s="138"/>
      <c r="K203" s="105"/>
      <c r="L203" s="109"/>
    </row>
    <row r="204">
      <c r="J204" s="138"/>
      <c r="K204" s="105"/>
      <c r="L204" s="109"/>
    </row>
    <row r="205">
      <c r="J205" s="138"/>
      <c r="K205" s="105"/>
      <c r="L205" s="109"/>
    </row>
    <row r="206">
      <c r="J206" s="138"/>
      <c r="K206" s="105"/>
      <c r="L206" s="109"/>
    </row>
    <row r="207">
      <c r="J207" s="138"/>
      <c r="K207" s="105"/>
      <c r="L207" s="109"/>
    </row>
    <row r="208">
      <c r="J208" s="138"/>
      <c r="K208" s="105"/>
      <c r="L208" s="109"/>
    </row>
    <row r="209">
      <c r="J209" s="138"/>
      <c r="K209" s="105"/>
      <c r="L209" s="109"/>
    </row>
    <row r="210">
      <c r="J210" s="138"/>
      <c r="K210" s="105"/>
      <c r="L210" s="109"/>
    </row>
    <row r="211">
      <c r="J211" s="138"/>
      <c r="K211" s="105"/>
      <c r="L211" s="109"/>
    </row>
    <row r="212">
      <c r="J212" s="138"/>
      <c r="K212" s="105"/>
      <c r="L212" s="109"/>
    </row>
    <row r="213">
      <c r="J213" s="138"/>
      <c r="K213" s="105"/>
      <c r="L213" s="109"/>
    </row>
    <row r="214">
      <c r="J214" s="138"/>
      <c r="K214" s="105"/>
      <c r="L214" s="109"/>
    </row>
    <row r="215">
      <c r="J215" s="138"/>
      <c r="K215" s="105"/>
      <c r="L215" s="109"/>
    </row>
    <row r="216">
      <c r="J216" s="138"/>
      <c r="K216" s="105"/>
      <c r="L216" s="109"/>
    </row>
    <row r="217">
      <c r="J217" s="138"/>
      <c r="K217" s="105"/>
      <c r="L217" s="109"/>
    </row>
    <row r="218">
      <c r="J218" s="138"/>
      <c r="K218" s="105"/>
      <c r="L218" s="109"/>
    </row>
    <row r="219">
      <c r="J219" s="138"/>
      <c r="K219" s="105"/>
      <c r="L219" s="109"/>
    </row>
    <row r="220">
      <c r="J220" s="138"/>
      <c r="K220" s="105"/>
      <c r="L220" s="109"/>
    </row>
    <row r="221">
      <c r="J221" s="138"/>
      <c r="K221" s="105"/>
      <c r="L221" s="109"/>
    </row>
    <row r="222">
      <c r="J222" s="138"/>
      <c r="K222" s="105"/>
      <c r="L222" s="109"/>
    </row>
    <row r="223">
      <c r="J223" s="138"/>
      <c r="K223" s="105"/>
      <c r="L223" s="109"/>
    </row>
    <row r="224">
      <c r="J224" s="138"/>
      <c r="K224" s="105"/>
      <c r="L224" s="109"/>
    </row>
    <row r="225">
      <c r="J225" s="138"/>
      <c r="K225" s="105"/>
      <c r="L225" s="109"/>
    </row>
    <row r="226">
      <c r="J226" s="138"/>
      <c r="K226" s="105"/>
      <c r="L226" s="109"/>
    </row>
    <row r="227">
      <c r="J227" s="138"/>
      <c r="K227" s="105"/>
      <c r="L227" s="109"/>
    </row>
    <row r="228">
      <c r="J228" s="138"/>
      <c r="K228" s="105"/>
      <c r="L228" s="109"/>
    </row>
    <row r="229">
      <c r="J229" s="138"/>
      <c r="K229" s="105"/>
      <c r="L229" s="109"/>
    </row>
    <row r="230">
      <c r="J230" s="138"/>
      <c r="K230" s="105"/>
      <c r="L230" s="109"/>
    </row>
    <row r="231">
      <c r="J231" s="138"/>
      <c r="K231" s="105"/>
      <c r="L231" s="109"/>
    </row>
    <row r="232">
      <c r="J232" s="138"/>
      <c r="K232" s="105"/>
      <c r="L232" s="109"/>
    </row>
    <row r="233">
      <c r="J233" s="138"/>
      <c r="K233" s="105"/>
      <c r="L233" s="109"/>
    </row>
    <row r="234">
      <c r="J234" s="138"/>
      <c r="K234" s="105"/>
      <c r="L234" s="109"/>
    </row>
    <row r="235">
      <c r="J235" s="138"/>
      <c r="K235" s="105"/>
      <c r="L235" s="109"/>
    </row>
    <row r="236">
      <c r="J236" s="138"/>
      <c r="K236" s="105"/>
      <c r="L236" s="109"/>
    </row>
    <row r="237">
      <c r="J237" s="138"/>
      <c r="K237" s="105"/>
      <c r="L237" s="109"/>
    </row>
    <row r="238">
      <c r="J238" s="138"/>
      <c r="K238" s="105"/>
      <c r="L238" s="109"/>
    </row>
    <row r="239">
      <c r="J239" s="138"/>
      <c r="K239" s="105"/>
      <c r="L239" s="109"/>
    </row>
    <row r="240">
      <c r="J240" s="138"/>
      <c r="K240" s="105"/>
      <c r="L240" s="109"/>
    </row>
    <row r="241">
      <c r="J241" s="138"/>
      <c r="K241" s="105"/>
      <c r="L241" s="109"/>
    </row>
    <row r="242">
      <c r="J242" s="138"/>
      <c r="K242" s="105"/>
      <c r="L242" s="109"/>
    </row>
    <row r="243">
      <c r="J243" s="138"/>
      <c r="K243" s="105"/>
      <c r="L243" s="109"/>
    </row>
    <row r="244">
      <c r="J244" s="138"/>
      <c r="K244" s="105"/>
      <c r="L244" s="109"/>
    </row>
    <row r="245">
      <c r="J245" s="138"/>
      <c r="K245" s="105"/>
      <c r="L245" s="109"/>
    </row>
    <row r="246">
      <c r="J246" s="138"/>
      <c r="K246" s="105"/>
      <c r="L246" s="109"/>
    </row>
    <row r="247">
      <c r="J247" s="138"/>
      <c r="K247" s="105"/>
      <c r="L247" s="109"/>
    </row>
    <row r="248">
      <c r="J248" s="138"/>
      <c r="K248" s="105"/>
      <c r="L248" s="109"/>
    </row>
    <row r="249">
      <c r="J249" s="138"/>
      <c r="K249" s="105"/>
      <c r="L249" s="109"/>
    </row>
    <row r="250">
      <c r="J250" s="138"/>
      <c r="K250" s="105"/>
      <c r="L250" s="109"/>
    </row>
    <row r="251">
      <c r="J251" s="138"/>
      <c r="K251" s="105"/>
      <c r="L251" s="109"/>
    </row>
    <row r="252">
      <c r="J252" s="138"/>
      <c r="K252" s="105"/>
      <c r="L252" s="109"/>
    </row>
    <row r="253">
      <c r="J253" s="138"/>
      <c r="K253" s="105"/>
      <c r="L253" s="109"/>
    </row>
    <row r="254">
      <c r="J254" s="138"/>
      <c r="K254" s="105"/>
      <c r="L254" s="109"/>
    </row>
    <row r="255">
      <c r="J255" s="138"/>
      <c r="K255" s="105"/>
      <c r="L255" s="109"/>
    </row>
    <row r="256">
      <c r="J256" s="138"/>
      <c r="K256" s="105"/>
      <c r="L256" s="109"/>
    </row>
    <row r="257">
      <c r="J257" s="138"/>
      <c r="K257" s="105"/>
      <c r="L257" s="109"/>
    </row>
    <row r="258">
      <c r="J258" s="138"/>
      <c r="K258" s="105"/>
      <c r="L258" s="109"/>
    </row>
    <row r="259">
      <c r="J259" s="138"/>
      <c r="K259" s="105"/>
      <c r="L259" s="109"/>
    </row>
    <row r="260">
      <c r="J260" s="138"/>
      <c r="K260" s="105"/>
      <c r="L260" s="109"/>
    </row>
    <row r="261">
      <c r="J261" s="138"/>
      <c r="K261" s="105"/>
      <c r="L261" s="109"/>
    </row>
    <row r="262">
      <c r="J262" s="138"/>
      <c r="K262" s="105"/>
      <c r="L262" s="109"/>
    </row>
    <row r="263">
      <c r="J263" s="138"/>
      <c r="K263" s="105"/>
      <c r="L263" s="109"/>
    </row>
    <row r="264">
      <c r="J264" s="138"/>
      <c r="K264" s="105"/>
      <c r="L264" s="109"/>
    </row>
    <row r="265">
      <c r="J265" s="138"/>
      <c r="K265" s="105"/>
      <c r="L265" s="109"/>
    </row>
    <row r="266">
      <c r="J266" s="138"/>
      <c r="K266" s="105"/>
      <c r="L266" s="109"/>
    </row>
    <row r="267">
      <c r="J267" s="138"/>
      <c r="K267" s="105"/>
      <c r="L267" s="109"/>
    </row>
    <row r="268">
      <c r="J268" s="138"/>
      <c r="K268" s="105"/>
      <c r="L268" s="109"/>
    </row>
    <row r="269">
      <c r="J269" s="138"/>
      <c r="K269" s="105"/>
      <c r="L269" s="109"/>
    </row>
    <row r="270">
      <c r="J270" s="138"/>
      <c r="K270" s="109"/>
      <c r="L270" s="109"/>
    </row>
    <row r="271">
      <c r="J271" s="138"/>
      <c r="K271" s="109"/>
      <c r="L271" s="109"/>
    </row>
    <row r="272">
      <c r="J272" s="138"/>
      <c r="K272" s="109"/>
      <c r="L272" s="109"/>
    </row>
    <row r="273">
      <c r="J273" s="138"/>
      <c r="K273" s="105"/>
      <c r="L273" s="109"/>
    </row>
    <row r="274">
      <c r="J274" s="138"/>
      <c r="K274" s="105"/>
      <c r="L274" s="109"/>
    </row>
    <row r="275">
      <c r="J275" s="138"/>
      <c r="K275" s="105"/>
      <c r="L275" s="109"/>
    </row>
    <row r="276">
      <c r="J276" s="138"/>
      <c r="K276" s="105"/>
      <c r="L276" s="109"/>
    </row>
    <row r="277">
      <c r="J277" s="138"/>
      <c r="K277" s="105"/>
      <c r="L277" s="109"/>
    </row>
    <row r="278">
      <c r="J278" s="138"/>
      <c r="K278" s="105"/>
      <c r="L278" s="109"/>
    </row>
    <row r="279">
      <c r="J279" s="136"/>
      <c r="K279" s="109"/>
      <c r="L279" s="109"/>
    </row>
    <row r="280">
      <c r="J280" s="136"/>
      <c r="K280" s="109"/>
      <c r="L280" s="109"/>
    </row>
    <row r="281">
      <c r="J281" s="136"/>
      <c r="K281" s="109"/>
      <c r="L281" s="109"/>
    </row>
    <row r="282">
      <c r="J282" s="136"/>
      <c r="K282" s="109"/>
      <c r="L282" s="109"/>
    </row>
    <row r="283">
      <c r="J283" s="136"/>
      <c r="K283" s="109"/>
      <c r="L283" s="109"/>
    </row>
    <row r="284">
      <c r="J284" s="136"/>
      <c r="K284" s="109"/>
      <c r="L284" s="109"/>
    </row>
    <row r="285">
      <c r="J285" s="136"/>
      <c r="K285" s="109"/>
      <c r="L285" s="109"/>
    </row>
    <row r="286">
      <c r="J286" s="136"/>
      <c r="K286" s="109"/>
      <c r="L286" s="109"/>
    </row>
    <row r="287">
      <c r="J287" s="136"/>
      <c r="K287" s="109"/>
      <c r="L287" s="109"/>
    </row>
    <row r="288">
      <c r="J288" s="136"/>
      <c r="K288" s="109"/>
      <c r="L288" s="109"/>
    </row>
    <row r="289">
      <c r="J289" s="136"/>
      <c r="K289" s="109"/>
      <c r="L289" s="109"/>
    </row>
    <row r="290">
      <c r="J290" s="136"/>
      <c r="K290" s="109"/>
      <c r="L290" s="109"/>
    </row>
    <row r="291">
      <c r="J291" s="136"/>
      <c r="K291" s="109"/>
      <c r="L291" s="109"/>
    </row>
    <row r="292">
      <c r="J292" s="136"/>
      <c r="K292" s="109"/>
      <c r="L292" s="109"/>
    </row>
    <row r="293">
      <c r="J293" s="136"/>
      <c r="K293" s="109"/>
      <c r="L293" s="109"/>
    </row>
    <row r="294">
      <c r="J294" s="136"/>
      <c r="K294" s="109"/>
      <c r="L294" s="109"/>
    </row>
    <row r="295">
      <c r="J295" s="136"/>
      <c r="K295" s="109"/>
      <c r="L295" s="109"/>
    </row>
    <row r="296">
      <c r="J296" s="136"/>
      <c r="K296" s="109"/>
      <c r="L296" s="109"/>
    </row>
    <row r="297">
      <c r="J297" s="136"/>
      <c r="K297" s="109"/>
      <c r="L297" s="109"/>
    </row>
    <row r="298">
      <c r="J298" s="136"/>
      <c r="K298" s="109"/>
      <c r="L298" s="109"/>
    </row>
    <row r="299">
      <c r="J299" s="136"/>
      <c r="K299" s="109"/>
      <c r="L299" s="109"/>
    </row>
    <row r="300">
      <c r="J300" s="136"/>
      <c r="K300" s="109"/>
      <c r="L300" s="109"/>
    </row>
    <row r="301">
      <c r="J301" s="136"/>
      <c r="K301" s="109"/>
      <c r="L301" s="109"/>
    </row>
    <row r="302">
      <c r="J302" s="136"/>
      <c r="K302" s="109"/>
      <c r="L302" s="109"/>
    </row>
    <row r="303">
      <c r="J303" s="136"/>
      <c r="K303" s="109"/>
      <c r="L303" s="109"/>
    </row>
    <row r="304">
      <c r="J304" s="136"/>
      <c r="K304" s="109"/>
      <c r="L304" s="109"/>
    </row>
    <row r="305">
      <c r="J305" s="136"/>
      <c r="K305" s="109"/>
      <c r="L305" s="109"/>
    </row>
    <row r="306">
      <c r="J306" s="136"/>
      <c r="K306" s="109"/>
      <c r="L306" s="109"/>
    </row>
    <row r="307">
      <c r="J307" s="136"/>
      <c r="K307" s="109"/>
      <c r="L307" s="109"/>
    </row>
    <row r="308">
      <c r="J308" s="136"/>
      <c r="K308" s="109"/>
      <c r="L308" s="109"/>
    </row>
    <row r="309">
      <c r="J309" s="136"/>
      <c r="K309" s="109"/>
      <c r="L309" s="109"/>
    </row>
    <row r="310">
      <c r="J310" s="136"/>
      <c r="K310" s="109"/>
      <c r="L310" s="109"/>
    </row>
    <row r="311">
      <c r="J311" s="136"/>
      <c r="K311" s="109"/>
      <c r="L311" s="109"/>
    </row>
    <row r="312">
      <c r="J312" s="136"/>
      <c r="K312" s="109"/>
      <c r="L312" s="109"/>
    </row>
    <row r="313">
      <c r="J313" s="136"/>
      <c r="K313" s="109"/>
      <c r="L313" s="109"/>
    </row>
    <row r="314">
      <c r="J314" s="136"/>
      <c r="K314" s="109"/>
      <c r="L314" s="109"/>
    </row>
    <row r="315">
      <c r="J315" s="136"/>
      <c r="K315" s="109"/>
      <c r="L315" s="109"/>
    </row>
    <row r="316">
      <c r="J316" s="136"/>
      <c r="K316" s="109"/>
      <c r="L316" s="109"/>
    </row>
    <row r="317">
      <c r="J317" s="136"/>
      <c r="K317" s="109"/>
      <c r="L317" s="109"/>
    </row>
    <row r="318">
      <c r="J318" s="136"/>
      <c r="K318" s="109"/>
      <c r="L318" s="109"/>
    </row>
    <row r="319">
      <c r="J319" s="136"/>
      <c r="K319" s="109"/>
      <c r="L319" s="109"/>
    </row>
    <row r="320">
      <c r="J320" s="136"/>
      <c r="K320" s="109"/>
      <c r="L320" s="109"/>
    </row>
    <row r="321">
      <c r="J321" s="136"/>
      <c r="K321" s="109"/>
      <c r="L321" s="109"/>
    </row>
    <row r="322">
      <c r="J322" s="136"/>
      <c r="K322" s="109"/>
      <c r="L322" s="109"/>
    </row>
    <row r="323">
      <c r="J323" s="136"/>
      <c r="K323" s="109"/>
      <c r="L323" s="109"/>
    </row>
    <row r="324">
      <c r="J324" s="136"/>
      <c r="K324" s="109"/>
      <c r="L324" s="109"/>
    </row>
    <row r="325">
      <c r="J325" s="136"/>
      <c r="K325" s="109"/>
      <c r="L325" s="109"/>
    </row>
    <row r="326">
      <c r="J326" s="136"/>
      <c r="K326" s="109"/>
      <c r="L326" s="109"/>
    </row>
    <row r="327">
      <c r="J327" s="136"/>
      <c r="K327" s="109"/>
      <c r="L327" s="109"/>
    </row>
    <row r="328">
      <c r="J328" s="136"/>
      <c r="K328" s="109"/>
      <c r="L328" s="109"/>
    </row>
    <row r="329">
      <c r="J329" s="136"/>
      <c r="K329" s="109"/>
      <c r="L329" s="109"/>
    </row>
    <row r="330">
      <c r="J330" s="136"/>
      <c r="K330" s="109"/>
      <c r="L330" s="109"/>
    </row>
    <row r="331">
      <c r="J331" s="136"/>
      <c r="K331" s="109"/>
      <c r="L331" s="109"/>
    </row>
    <row r="332">
      <c r="J332" s="136"/>
      <c r="K332" s="109"/>
      <c r="L332" s="109"/>
    </row>
    <row r="333">
      <c r="J333" s="136"/>
      <c r="K333" s="109"/>
      <c r="L333" s="109"/>
    </row>
    <row r="334">
      <c r="J334" s="136"/>
      <c r="K334" s="109"/>
      <c r="L334" s="109"/>
    </row>
    <row r="335">
      <c r="J335" s="136"/>
      <c r="K335" s="109"/>
      <c r="L335" s="109"/>
    </row>
    <row r="336">
      <c r="J336" s="136"/>
      <c r="K336" s="109"/>
      <c r="L336" s="109"/>
    </row>
    <row r="337">
      <c r="J337" s="136"/>
      <c r="K337" s="109"/>
      <c r="L337" s="109"/>
    </row>
    <row r="338">
      <c r="J338" s="136"/>
      <c r="K338" s="109"/>
      <c r="L338" s="109"/>
    </row>
    <row r="339">
      <c r="J339" s="136"/>
      <c r="K339" s="109"/>
      <c r="L339" s="109"/>
    </row>
    <row r="340">
      <c r="J340" s="136"/>
      <c r="K340" s="109"/>
      <c r="L340" s="109"/>
    </row>
    <row r="341">
      <c r="J341" s="136"/>
      <c r="K341" s="109"/>
      <c r="L341" s="109"/>
    </row>
    <row r="342">
      <c r="J342" s="136"/>
      <c r="K342" s="109"/>
      <c r="L342" s="109"/>
    </row>
    <row r="343">
      <c r="J343" s="136"/>
      <c r="K343" s="109"/>
      <c r="L343" s="109"/>
    </row>
    <row r="344">
      <c r="J344" s="136"/>
      <c r="K344" s="109"/>
      <c r="L344" s="109"/>
    </row>
    <row r="345">
      <c r="J345" s="136"/>
      <c r="K345" s="109"/>
      <c r="L345" s="109"/>
    </row>
    <row r="346">
      <c r="J346" s="136"/>
      <c r="K346" s="109"/>
      <c r="L346" s="109"/>
    </row>
    <row r="347">
      <c r="J347" s="136"/>
      <c r="K347" s="109"/>
      <c r="L347" s="109"/>
    </row>
    <row r="348">
      <c r="J348" s="136"/>
      <c r="K348" s="109"/>
      <c r="L348" s="109"/>
    </row>
    <row r="349">
      <c r="J349" s="136"/>
      <c r="K349" s="109"/>
      <c r="L349" s="109"/>
    </row>
    <row r="350">
      <c r="J350" s="136"/>
      <c r="K350" s="109"/>
      <c r="L350" s="109"/>
    </row>
    <row r="351">
      <c r="J351" s="136"/>
      <c r="K351" s="109"/>
      <c r="L351" s="109"/>
    </row>
    <row r="352">
      <c r="J352" s="136"/>
      <c r="K352" s="109"/>
      <c r="L352" s="109"/>
    </row>
    <row r="353">
      <c r="J353" s="136"/>
      <c r="K353" s="109"/>
      <c r="L353" s="109"/>
    </row>
    <row r="354">
      <c r="J354" s="136"/>
      <c r="K354" s="109"/>
      <c r="L354" s="109"/>
    </row>
    <row r="355">
      <c r="J355" s="136"/>
      <c r="K355" s="109"/>
      <c r="L355" s="109"/>
    </row>
    <row r="356">
      <c r="J356" s="136"/>
      <c r="K356" s="109"/>
      <c r="L356" s="109"/>
    </row>
    <row r="357">
      <c r="J357" s="136"/>
      <c r="K357" s="109"/>
      <c r="L357" s="109"/>
    </row>
    <row r="358">
      <c r="J358" s="136"/>
      <c r="K358" s="109"/>
      <c r="L358" s="109"/>
    </row>
    <row r="359">
      <c r="J359" s="136"/>
      <c r="K359" s="109"/>
      <c r="L359" s="109"/>
    </row>
    <row r="360">
      <c r="J360" s="136"/>
      <c r="K360" s="109"/>
      <c r="L360" s="109"/>
    </row>
    <row r="361">
      <c r="J361" s="136"/>
      <c r="K361" s="109"/>
      <c r="L361" s="109"/>
    </row>
    <row r="362">
      <c r="J362" s="136"/>
      <c r="K362" s="109"/>
      <c r="L362" s="109"/>
    </row>
    <row r="363">
      <c r="J363" s="136"/>
      <c r="K363" s="109"/>
      <c r="L363" s="109"/>
    </row>
    <row r="364">
      <c r="J364" s="136"/>
      <c r="K364" s="109"/>
      <c r="L364" s="109"/>
    </row>
    <row r="365">
      <c r="J365" s="136"/>
      <c r="K365" s="109"/>
      <c r="L365" s="109"/>
    </row>
    <row r="366">
      <c r="J366" s="136"/>
      <c r="K366" s="109"/>
      <c r="L366" s="109"/>
    </row>
    <row r="367">
      <c r="J367" s="136"/>
      <c r="K367" s="109"/>
      <c r="L367" s="109"/>
    </row>
    <row r="368">
      <c r="J368" s="136"/>
      <c r="K368" s="109"/>
      <c r="L368" s="109"/>
    </row>
    <row r="369">
      <c r="J369" s="136"/>
      <c r="K369" s="109"/>
      <c r="L369" s="109"/>
    </row>
    <row r="370">
      <c r="J370" s="136"/>
      <c r="K370" s="109"/>
      <c r="L370" s="109"/>
    </row>
    <row r="371">
      <c r="J371" s="136"/>
      <c r="K371" s="109"/>
      <c r="L371" s="109"/>
    </row>
    <row r="372">
      <c r="J372" s="136"/>
      <c r="K372" s="109"/>
      <c r="L372" s="109"/>
    </row>
    <row r="373">
      <c r="J373" s="136"/>
      <c r="K373" s="109"/>
      <c r="L373" s="109"/>
    </row>
    <row r="374">
      <c r="J374" s="136"/>
      <c r="K374" s="109"/>
      <c r="L374" s="109"/>
    </row>
    <row r="375">
      <c r="J375" s="136"/>
      <c r="K375" s="109"/>
      <c r="L375" s="109"/>
    </row>
    <row r="376">
      <c r="J376" s="136"/>
      <c r="K376" s="109"/>
      <c r="L376" s="109"/>
    </row>
    <row r="377">
      <c r="J377" s="136"/>
      <c r="K377" s="109"/>
      <c r="L377" s="109"/>
    </row>
    <row r="378">
      <c r="J378" s="136"/>
      <c r="K378" s="109"/>
      <c r="L378" s="109"/>
    </row>
    <row r="379">
      <c r="J379" s="136"/>
      <c r="K379" s="109"/>
      <c r="L379" s="109"/>
    </row>
    <row r="380">
      <c r="J380" s="136"/>
      <c r="K380" s="109"/>
      <c r="L380" s="109"/>
    </row>
    <row r="381">
      <c r="J381" s="136"/>
      <c r="K381" s="109"/>
      <c r="L381" s="109"/>
    </row>
    <row r="382">
      <c r="J382" s="136"/>
      <c r="K382" s="109"/>
      <c r="L382" s="109"/>
    </row>
    <row r="383">
      <c r="J383" s="136"/>
      <c r="K383" s="109"/>
      <c r="L383" s="109"/>
    </row>
    <row r="384">
      <c r="J384" s="136"/>
      <c r="K384" s="109"/>
      <c r="L384" s="109"/>
    </row>
    <row r="385">
      <c r="J385" s="136"/>
      <c r="K385" s="109"/>
      <c r="L385" s="109"/>
    </row>
    <row r="386">
      <c r="J386" s="136"/>
      <c r="K386" s="109"/>
      <c r="L386" s="109"/>
    </row>
    <row r="387">
      <c r="J387" s="136"/>
      <c r="K387" s="109"/>
      <c r="L387" s="109"/>
    </row>
    <row r="388">
      <c r="J388" s="136"/>
      <c r="K388" s="109"/>
      <c r="L388" s="109"/>
    </row>
    <row r="389">
      <c r="J389" s="136"/>
      <c r="K389" s="109"/>
      <c r="L389" s="109"/>
    </row>
    <row r="390">
      <c r="J390" s="136"/>
      <c r="K390" s="109"/>
      <c r="L390" s="109"/>
    </row>
    <row r="391">
      <c r="J391" s="136"/>
      <c r="K391" s="109"/>
      <c r="L391" s="109"/>
    </row>
    <row r="392">
      <c r="J392" s="136"/>
      <c r="K392" s="109"/>
      <c r="L392" s="109"/>
    </row>
    <row r="393">
      <c r="J393" s="136"/>
      <c r="K393" s="109"/>
      <c r="L393" s="109"/>
    </row>
    <row r="394">
      <c r="J394" s="136"/>
      <c r="K394" s="109"/>
      <c r="L394" s="109"/>
    </row>
    <row r="395">
      <c r="J395" s="136"/>
      <c r="K395" s="109"/>
      <c r="L395" s="109"/>
    </row>
    <row r="396">
      <c r="J396" s="136"/>
      <c r="K396" s="109"/>
      <c r="L396" s="109"/>
    </row>
    <row r="397">
      <c r="J397" s="136"/>
      <c r="K397" s="109"/>
      <c r="L397" s="109"/>
    </row>
    <row r="398">
      <c r="J398" s="136"/>
      <c r="K398" s="109"/>
      <c r="L398" s="109"/>
    </row>
    <row r="399">
      <c r="J399" s="136"/>
      <c r="K399" s="109"/>
      <c r="L399" s="109"/>
    </row>
    <row r="400">
      <c r="J400" s="136"/>
      <c r="K400" s="109"/>
      <c r="L400" s="109"/>
    </row>
    <row r="401">
      <c r="J401" s="136"/>
      <c r="K401" s="109"/>
      <c r="L401" s="109"/>
    </row>
    <row r="402">
      <c r="J402" s="136"/>
      <c r="K402" s="109"/>
      <c r="L402" s="109"/>
    </row>
    <row r="403">
      <c r="J403" s="136"/>
      <c r="K403" s="109"/>
      <c r="L403" s="109"/>
    </row>
    <row r="404">
      <c r="J404" s="136"/>
      <c r="K404" s="109"/>
      <c r="L404" s="109"/>
    </row>
    <row r="405">
      <c r="J405" s="136"/>
      <c r="K405" s="109"/>
      <c r="L405" s="109"/>
    </row>
    <row r="406">
      <c r="J406" s="136"/>
      <c r="K406" s="109"/>
      <c r="L406" s="109"/>
    </row>
    <row r="407">
      <c r="J407" s="136"/>
      <c r="K407" s="109"/>
      <c r="L407" s="109"/>
    </row>
    <row r="408">
      <c r="J408" s="136"/>
      <c r="K408" s="109"/>
      <c r="L408" s="109"/>
    </row>
    <row r="409">
      <c r="J409" s="136"/>
      <c r="K409" s="109"/>
      <c r="L409" s="109"/>
    </row>
    <row r="410">
      <c r="J410" s="136"/>
      <c r="K410" s="109"/>
      <c r="L410" s="109"/>
    </row>
    <row r="411">
      <c r="J411" s="136"/>
      <c r="K411" s="109"/>
      <c r="L411" s="109"/>
    </row>
    <row r="412">
      <c r="J412" s="136"/>
      <c r="K412" s="109"/>
      <c r="L412" s="109"/>
    </row>
    <row r="413">
      <c r="J413" s="136"/>
      <c r="K413" s="109"/>
      <c r="L413" s="109"/>
    </row>
    <row r="414">
      <c r="J414" s="136"/>
      <c r="K414" s="109"/>
      <c r="L414" s="109"/>
    </row>
    <row r="415">
      <c r="J415" s="136"/>
      <c r="K415" s="109"/>
      <c r="L415" s="109"/>
    </row>
    <row r="416">
      <c r="J416" s="136"/>
      <c r="K416" s="109"/>
      <c r="L416" s="109"/>
    </row>
    <row r="417">
      <c r="J417" s="136"/>
      <c r="K417" s="109"/>
      <c r="L417" s="109"/>
    </row>
    <row r="418">
      <c r="J418" s="136"/>
      <c r="K418" s="109"/>
      <c r="L418" s="109"/>
    </row>
    <row r="419">
      <c r="J419" s="136"/>
      <c r="K419" s="109"/>
      <c r="L419" s="109"/>
    </row>
    <row r="420">
      <c r="J420" s="136"/>
      <c r="K420" s="109"/>
      <c r="L420" s="109"/>
    </row>
    <row r="421">
      <c r="J421" s="136"/>
      <c r="K421" s="109"/>
      <c r="L421" s="109"/>
    </row>
    <row r="422">
      <c r="J422" s="136"/>
      <c r="K422" s="109"/>
      <c r="L422" s="109"/>
    </row>
    <row r="423">
      <c r="J423" s="136"/>
      <c r="K423" s="109"/>
      <c r="L423" s="109"/>
    </row>
    <row r="424">
      <c r="J424" s="136"/>
      <c r="K424" s="109"/>
      <c r="L424" s="109"/>
    </row>
    <row r="425">
      <c r="J425" s="136"/>
      <c r="K425" s="109"/>
      <c r="L425" s="109"/>
    </row>
    <row r="426">
      <c r="J426" s="136"/>
      <c r="K426" s="109"/>
      <c r="L426" s="109"/>
    </row>
    <row r="427">
      <c r="J427" s="136"/>
      <c r="K427" s="109"/>
      <c r="L427" s="109"/>
    </row>
    <row r="428">
      <c r="J428" s="136"/>
      <c r="K428" s="109"/>
      <c r="L428" s="109"/>
    </row>
    <row r="429">
      <c r="J429" s="136"/>
      <c r="K429" s="109"/>
      <c r="L429" s="109"/>
    </row>
    <row r="430">
      <c r="J430" s="136"/>
      <c r="K430" s="109"/>
      <c r="L430" s="109"/>
    </row>
    <row r="431">
      <c r="J431" s="136"/>
      <c r="K431" s="109"/>
      <c r="L431" s="109"/>
    </row>
    <row r="432">
      <c r="J432" s="136"/>
      <c r="K432" s="109"/>
      <c r="L432" s="109"/>
    </row>
    <row r="433">
      <c r="J433" s="136"/>
      <c r="K433" s="109"/>
      <c r="L433" s="109"/>
    </row>
    <row r="434">
      <c r="J434" s="136"/>
      <c r="K434" s="109"/>
      <c r="L434" s="109"/>
    </row>
    <row r="435">
      <c r="J435" s="136"/>
      <c r="K435" s="109"/>
      <c r="L435" s="109"/>
    </row>
    <row r="436">
      <c r="J436" s="136"/>
      <c r="K436" s="109"/>
      <c r="L436" s="109"/>
    </row>
    <row r="437">
      <c r="J437" s="136"/>
      <c r="K437" s="109"/>
      <c r="L437" s="109"/>
    </row>
    <row r="438">
      <c r="J438" s="136"/>
      <c r="K438" s="109"/>
      <c r="L438" s="109"/>
    </row>
    <row r="439">
      <c r="J439" s="136"/>
      <c r="K439" s="109"/>
      <c r="L439" s="109"/>
    </row>
    <row r="440">
      <c r="J440" s="136"/>
      <c r="K440" s="109"/>
      <c r="L440" s="109"/>
    </row>
    <row r="441">
      <c r="J441" s="136"/>
      <c r="K441" s="109"/>
      <c r="L441" s="109"/>
    </row>
    <row r="442">
      <c r="J442" s="136"/>
      <c r="K442" s="109"/>
      <c r="L442" s="109"/>
    </row>
    <row r="443">
      <c r="J443" s="136"/>
      <c r="K443" s="109"/>
      <c r="L443" s="109"/>
    </row>
    <row r="444">
      <c r="J444" s="136"/>
      <c r="K444" s="109"/>
      <c r="L444" s="109"/>
    </row>
    <row r="445">
      <c r="J445" s="136"/>
      <c r="K445" s="109"/>
      <c r="L445" s="109"/>
    </row>
    <row r="446">
      <c r="J446" s="136"/>
      <c r="K446" s="109"/>
      <c r="L446" s="109"/>
    </row>
    <row r="447">
      <c r="J447" s="136"/>
      <c r="K447" s="109"/>
      <c r="L447" s="109"/>
    </row>
    <row r="448">
      <c r="J448" s="136"/>
      <c r="K448" s="109"/>
      <c r="L448" s="109"/>
    </row>
    <row r="449">
      <c r="J449" s="136"/>
      <c r="K449" s="109"/>
      <c r="L449" s="109"/>
    </row>
    <row r="450">
      <c r="J450" s="136"/>
      <c r="K450" s="109"/>
      <c r="L450" s="109"/>
    </row>
    <row r="451">
      <c r="J451" s="136"/>
      <c r="K451" s="109"/>
      <c r="L451" s="109"/>
    </row>
    <row r="452">
      <c r="J452" s="136"/>
      <c r="K452" s="109"/>
      <c r="L452" s="109"/>
    </row>
    <row r="453">
      <c r="J453" s="136"/>
      <c r="K453" s="109"/>
      <c r="L453" s="109"/>
    </row>
    <row r="454">
      <c r="J454" s="136"/>
      <c r="K454" s="109"/>
      <c r="L454" s="109"/>
    </row>
    <row r="455">
      <c r="J455" s="136"/>
      <c r="K455" s="109"/>
      <c r="L455" s="109"/>
    </row>
    <row r="456">
      <c r="J456" s="136"/>
      <c r="K456" s="109"/>
      <c r="L456" s="109"/>
    </row>
    <row r="457">
      <c r="J457" s="136"/>
      <c r="K457" s="109"/>
      <c r="L457" s="109"/>
    </row>
    <row r="458">
      <c r="J458" s="136"/>
      <c r="K458" s="109"/>
      <c r="L458" s="109"/>
    </row>
    <row r="459">
      <c r="J459" s="136"/>
      <c r="K459" s="109"/>
      <c r="L459" s="109"/>
    </row>
    <row r="460">
      <c r="J460" s="136"/>
      <c r="K460" s="109"/>
      <c r="L460" s="109"/>
    </row>
    <row r="461">
      <c r="J461" s="136"/>
      <c r="K461" s="109"/>
      <c r="L461" s="109"/>
    </row>
    <row r="462">
      <c r="J462" s="136"/>
      <c r="K462" s="109"/>
      <c r="L462" s="109"/>
    </row>
    <row r="463">
      <c r="J463" s="136"/>
      <c r="K463" s="109"/>
      <c r="L463" s="109"/>
    </row>
    <row r="464">
      <c r="J464" s="136"/>
      <c r="K464" s="109"/>
      <c r="L464" s="109"/>
    </row>
    <row r="465">
      <c r="J465" s="136"/>
      <c r="K465" s="109"/>
      <c r="L465" s="109"/>
    </row>
    <row r="466">
      <c r="J466" s="136"/>
      <c r="K466" s="109"/>
      <c r="L466" s="109"/>
    </row>
    <row r="467">
      <c r="J467" s="136"/>
      <c r="K467" s="109"/>
      <c r="L467" s="109"/>
    </row>
    <row r="468">
      <c r="J468" s="136"/>
      <c r="K468" s="109"/>
      <c r="L468" s="109"/>
    </row>
    <row r="469">
      <c r="J469" s="136"/>
      <c r="K469" s="109"/>
      <c r="L469" s="109"/>
    </row>
    <row r="470">
      <c r="J470" s="136"/>
      <c r="K470" s="109"/>
      <c r="L470" s="109"/>
    </row>
    <row r="471">
      <c r="J471" s="136"/>
      <c r="K471" s="109"/>
      <c r="L471" s="109"/>
    </row>
    <row r="472">
      <c r="J472" s="136"/>
      <c r="K472" s="109"/>
      <c r="L472" s="109"/>
    </row>
    <row r="473">
      <c r="J473" s="136"/>
      <c r="K473" s="109"/>
      <c r="L473" s="109"/>
    </row>
    <row r="474">
      <c r="J474" s="136"/>
      <c r="K474" s="109"/>
      <c r="L474" s="109"/>
    </row>
    <row r="475">
      <c r="J475" s="136"/>
      <c r="K475" s="109"/>
      <c r="L475" s="109"/>
    </row>
    <row r="476">
      <c r="J476" s="136"/>
      <c r="K476" s="109"/>
      <c r="L476" s="109"/>
    </row>
    <row r="477">
      <c r="J477" s="136"/>
      <c r="K477" s="109"/>
      <c r="L477" s="109"/>
    </row>
    <row r="478">
      <c r="J478" s="136"/>
      <c r="K478" s="109"/>
      <c r="L478" s="109"/>
    </row>
    <row r="479">
      <c r="J479" s="136"/>
      <c r="K479" s="109"/>
      <c r="L479" s="109"/>
    </row>
    <row r="480">
      <c r="J480" s="136"/>
      <c r="K480" s="109"/>
      <c r="L480" s="109"/>
    </row>
    <row r="481">
      <c r="J481" s="136"/>
      <c r="K481" s="109"/>
      <c r="L481" s="109"/>
    </row>
    <row r="482">
      <c r="J482" s="136"/>
      <c r="K482" s="109"/>
      <c r="L482" s="109"/>
    </row>
    <row r="483">
      <c r="J483" s="136"/>
      <c r="K483" s="109"/>
      <c r="L483" s="109"/>
    </row>
    <row r="484">
      <c r="J484" s="136"/>
      <c r="K484" s="109"/>
      <c r="L484" s="109"/>
    </row>
    <row r="485">
      <c r="J485" s="136"/>
      <c r="K485" s="109"/>
      <c r="L485" s="109"/>
    </row>
    <row r="486">
      <c r="J486" s="136"/>
      <c r="K486" s="109"/>
      <c r="L486" s="109"/>
    </row>
    <row r="487">
      <c r="J487" s="136"/>
      <c r="K487" s="109"/>
      <c r="L487" s="109"/>
    </row>
    <row r="488">
      <c r="J488" s="136"/>
      <c r="K488" s="109"/>
      <c r="L488" s="109"/>
    </row>
    <row r="489">
      <c r="J489" s="136"/>
      <c r="K489" s="109"/>
      <c r="L489" s="109"/>
    </row>
    <row r="490">
      <c r="J490" s="136"/>
      <c r="K490" s="109"/>
      <c r="L490" s="109"/>
    </row>
    <row r="491">
      <c r="J491" s="136"/>
      <c r="K491" s="109"/>
      <c r="L491" s="109"/>
    </row>
    <row r="492">
      <c r="J492" s="136"/>
      <c r="K492" s="109"/>
      <c r="L492" s="109"/>
    </row>
    <row r="493">
      <c r="J493" s="136"/>
      <c r="K493" s="109"/>
      <c r="L493" s="109"/>
    </row>
    <row r="494">
      <c r="J494" s="136"/>
      <c r="K494" s="109"/>
      <c r="L494" s="109"/>
    </row>
    <row r="495">
      <c r="J495" s="136"/>
      <c r="K495" s="109"/>
      <c r="L495" s="109"/>
    </row>
    <row r="496">
      <c r="J496" s="136"/>
      <c r="K496" s="109"/>
      <c r="L496" s="109"/>
    </row>
    <row r="497">
      <c r="J497" s="136"/>
      <c r="K497" s="109"/>
      <c r="L497" s="109"/>
    </row>
    <row r="498">
      <c r="J498" s="136"/>
      <c r="K498" s="109"/>
      <c r="L498" s="109"/>
    </row>
    <row r="499">
      <c r="J499" s="136"/>
      <c r="K499" s="109"/>
      <c r="L499" s="109"/>
    </row>
    <row r="500">
      <c r="J500" s="136"/>
      <c r="K500" s="109"/>
      <c r="L500" s="109"/>
    </row>
    <row r="501">
      <c r="J501" s="136"/>
      <c r="K501" s="109"/>
      <c r="L501" s="109"/>
    </row>
    <row r="502">
      <c r="J502" s="136"/>
      <c r="K502" s="109"/>
      <c r="L502" s="109"/>
    </row>
    <row r="503">
      <c r="J503" s="136"/>
      <c r="K503" s="109"/>
      <c r="L503" s="109"/>
    </row>
    <row r="504">
      <c r="J504" s="136"/>
      <c r="K504" s="109"/>
      <c r="L504" s="109"/>
    </row>
    <row r="505">
      <c r="J505" s="136"/>
      <c r="K505" s="109"/>
      <c r="L505" s="109"/>
    </row>
    <row r="506">
      <c r="J506" s="136"/>
      <c r="K506" s="109"/>
      <c r="L506" s="109"/>
    </row>
    <row r="507">
      <c r="J507" s="136"/>
      <c r="K507" s="109"/>
      <c r="L507" s="109"/>
    </row>
    <row r="508">
      <c r="J508" s="136"/>
      <c r="K508" s="109"/>
      <c r="L508" s="109"/>
    </row>
    <row r="509">
      <c r="J509" s="136"/>
      <c r="K509" s="109"/>
      <c r="L509" s="109"/>
    </row>
    <row r="510">
      <c r="J510" s="136"/>
      <c r="K510" s="109"/>
      <c r="L510" s="109"/>
    </row>
    <row r="511">
      <c r="J511" s="136"/>
      <c r="K511" s="109"/>
      <c r="L511" s="109"/>
    </row>
    <row r="512">
      <c r="J512" s="136"/>
      <c r="K512" s="109"/>
      <c r="L512" s="109"/>
    </row>
    <row r="513">
      <c r="J513" s="136"/>
      <c r="K513" s="109"/>
      <c r="L513" s="109"/>
    </row>
    <row r="514">
      <c r="J514" s="136"/>
      <c r="K514" s="109"/>
      <c r="L514" s="109"/>
    </row>
    <row r="515">
      <c r="J515" s="136"/>
      <c r="K515" s="109"/>
      <c r="L515" s="109"/>
    </row>
    <row r="516">
      <c r="J516" s="136"/>
      <c r="K516" s="109"/>
      <c r="L516" s="109"/>
    </row>
    <row r="517">
      <c r="J517" s="136"/>
      <c r="K517" s="109"/>
      <c r="L517" s="109"/>
    </row>
    <row r="518">
      <c r="J518" s="136"/>
      <c r="K518" s="109"/>
      <c r="L518" s="109"/>
    </row>
    <row r="519">
      <c r="J519" s="136"/>
      <c r="K519" s="109"/>
      <c r="L519" s="109"/>
    </row>
    <row r="520">
      <c r="J520" s="136"/>
      <c r="K520" s="109"/>
      <c r="L520" s="109"/>
    </row>
    <row r="521">
      <c r="J521" s="136"/>
      <c r="K521" s="109"/>
      <c r="L521" s="109"/>
    </row>
    <row r="522">
      <c r="J522" s="136"/>
      <c r="K522" s="109"/>
      <c r="L522" s="109"/>
    </row>
    <row r="523">
      <c r="J523" s="136"/>
      <c r="K523" s="109"/>
      <c r="L523" s="109"/>
    </row>
    <row r="524">
      <c r="J524" s="136"/>
      <c r="K524" s="109"/>
      <c r="L524" s="109"/>
    </row>
    <row r="525">
      <c r="J525" s="136"/>
      <c r="K525" s="109"/>
      <c r="L525" s="109"/>
    </row>
    <row r="526">
      <c r="J526" s="136"/>
      <c r="K526" s="109"/>
      <c r="L526" s="109"/>
    </row>
    <row r="527">
      <c r="J527" s="136"/>
      <c r="K527" s="109"/>
      <c r="L527" s="109"/>
    </row>
    <row r="528">
      <c r="J528" s="136"/>
      <c r="K528" s="109"/>
      <c r="L528" s="109"/>
    </row>
    <row r="529">
      <c r="J529" s="136"/>
      <c r="K529" s="109"/>
      <c r="L529" s="109"/>
    </row>
    <row r="530">
      <c r="J530" s="136"/>
      <c r="K530" s="109"/>
      <c r="L530" s="109"/>
    </row>
    <row r="531">
      <c r="J531" s="136"/>
      <c r="K531" s="109"/>
      <c r="L531" s="109"/>
    </row>
    <row r="532">
      <c r="J532" s="136"/>
      <c r="K532" s="109"/>
      <c r="L532" s="109"/>
    </row>
    <row r="533">
      <c r="J533" s="136"/>
      <c r="K533" s="109"/>
      <c r="L533" s="109"/>
    </row>
    <row r="534">
      <c r="J534" s="136"/>
      <c r="K534" s="109"/>
      <c r="L534" s="109"/>
    </row>
    <row r="535">
      <c r="J535" s="136"/>
      <c r="K535" s="109"/>
      <c r="L535" s="109"/>
    </row>
    <row r="536">
      <c r="J536" s="136"/>
      <c r="K536" s="109"/>
      <c r="L536" s="109"/>
    </row>
    <row r="537">
      <c r="J537" s="136"/>
      <c r="K537" s="109"/>
      <c r="L537" s="109"/>
    </row>
    <row r="538">
      <c r="J538" s="136"/>
      <c r="K538" s="109"/>
      <c r="L538" s="109"/>
    </row>
    <row r="539">
      <c r="J539" s="136"/>
      <c r="K539" s="109"/>
      <c r="L539" s="109"/>
    </row>
    <row r="540">
      <c r="J540" s="136"/>
      <c r="K540" s="109"/>
      <c r="L540" s="109"/>
    </row>
    <row r="541">
      <c r="J541" s="136"/>
      <c r="K541" s="109"/>
      <c r="L541" s="109"/>
    </row>
    <row r="542">
      <c r="J542" s="136"/>
      <c r="K542" s="109"/>
      <c r="L542" s="109"/>
    </row>
    <row r="543">
      <c r="J543" s="136"/>
      <c r="K543" s="109"/>
      <c r="L543" s="109"/>
    </row>
    <row r="544">
      <c r="J544" s="136"/>
      <c r="K544" s="109"/>
      <c r="L544" s="109"/>
    </row>
    <row r="545">
      <c r="J545" s="136"/>
      <c r="K545" s="109"/>
      <c r="L545" s="109"/>
    </row>
    <row r="546">
      <c r="J546" s="136"/>
      <c r="K546" s="109"/>
      <c r="L546" s="109"/>
    </row>
    <row r="547">
      <c r="J547" s="136"/>
      <c r="K547" s="109"/>
      <c r="L547" s="109"/>
    </row>
    <row r="548">
      <c r="J548" s="136"/>
      <c r="K548" s="109"/>
      <c r="L548" s="109"/>
    </row>
    <row r="549">
      <c r="J549" s="136"/>
      <c r="K549" s="109"/>
      <c r="L549" s="109"/>
    </row>
    <row r="550">
      <c r="J550" s="136"/>
      <c r="K550" s="109"/>
      <c r="L550" s="109"/>
    </row>
    <row r="551">
      <c r="J551" s="136"/>
      <c r="K551" s="109"/>
      <c r="L551" s="109"/>
    </row>
    <row r="552">
      <c r="J552" s="136"/>
      <c r="K552" s="109"/>
      <c r="L552" s="109"/>
    </row>
    <row r="553">
      <c r="J553" s="136"/>
      <c r="K553" s="109"/>
      <c r="L553" s="109"/>
    </row>
    <row r="554">
      <c r="J554" s="136"/>
      <c r="K554" s="109"/>
      <c r="L554" s="109"/>
    </row>
    <row r="555">
      <c r="J555" s="136"/>
      <c r="K555" s="109"/>
      <c r="L555" s="109"/>
    </row>
    <row r="556">
      <c r="J556" s="136"/>
      <c r="K556" s="109"/>
      <c r="L556" s="109"/>
    </row>
    <row r="557">
      <c r="J557" s="136"/>
      <c r="K557" s="109"/>
      <c r="L557" s="109"/>
    </row>
    <row r="558">
      <c r="J558" s="136"/>
      <c r="K558" s="109"/>
      <c r="L558" s="109"/>
    </row>
    <row r="559">
      <c r="J559" s="136"/>
      <c r="K559" s="109"/>
      <c r="L559" s="109"/>
    </row>
    <row r="560">
      <c r="J560" s="136"/>
      <c r="K560" s="109"/>
      <c r="L560" s="109"/>
    </row>
    <row r="561">
      <c r="J561" s="136"/>
      <c r="K561" s="109"/>
      <c r="L561" s="109"/>
    </row>
    <row r="562">
      <c r="J562" s="136"/>
      <c r="K562" s="109"/>
      <c r="L562" s="109"/>
    </row>
    <row r="563">
      <c r="J563" s="136"/>
      <c r="K563" s="109"/>
      <c r="L563" s="109"/>
    </row>
    <row r="564">
      <c r="J564" s="136"/>
      <c r="K564" s="109"/>
      <c r="L564" s="109"/>
    </row>
    <row r="565">
      <c r="J565" s="136"/>
      <c r="K565" s="109"/>
      <c r="L565" s="109"/>
    </row>
    <row r="566">
      <c r="J566" s="136"/>
      <c r="K566" s="109"/>
      <c r="L566" s="109"/>
    </row>
    <row r="567">
      <c r="J567" s="136"/>
      <c r="K567" s="109"/>
      <c r="L567" s="109"/>
    </row>
    <row r="568">
      <c r="J568" s="136"/>
      <c r="K568" s="109"/>
      <c r="L568" s="109"/>
    </row>
    <row r="569">
      <c r="J569" s="136"/>
      <c r="K569" s="109"/>
      <c r="L569" s="109"/>
    </row>
    <row r="570">
      <c r="J570" s="136"/>
      <c r="K570" s="109"/>
      <c r="L570" s="109"/>
    </row>
    <row r="571">
      <c r="J571" s="136"/>
      <c r="K571" s="109"/>
      <c r="L571" s="109"/>
    </row>
    <row r="572">
      <c r="J572" s="136"/>
      <c r="K572" s="109"/>
      <c r="L572" s="109"/>
    </row>
    <row r="573">
      <c r="J573" s="136"/>
      <c r="K573" s="109"/>
      <c r="L573" s="109"/>
    </row>
    <row r="574">
      <c r="J574" s="136"/>
      <c r="K574" s="109"/>
      <c r="L574" s="109"/>
    </row>
    <row r="575">
      <c r="J575" s="136"/>
      <c r="K575" s="109"/>
      <c r="L575" s="109"/>
    </row>
    <row r="576">
      <c r="J576" s="136"/>
      <c r="K576" s="109"/>
      <c r="L576" s="109"/>
    </row>
    <row r="577">
      <c r="J577" s="136"/>
      <c r="K577" s="109"/>
      <c r="L577" s="109"/>
    </row>
    <row r="578">
      <c r="J578" s="136"/>
      <c r="K578" s="109"/>
      <c r="L578" s="109"/>
    </row>
    <row r="579">
      <c r="J579" s="136"/>
      <c r="K579" s="109"/>
      <c r="L579" s="109"/>
    </row>
    <row r="580">
      <c r="J580" s="136"/>
      <c r="K580" s="109"/>
      <c r="L580" s="109"/>
    </row>
    <row r="581">
      <c r="J581" s="136"/>
      <c r="K581" s="109"/>
      <c r="L581" s="109"/>
    </row>
    <row r="582">
      <c r="J582" s="136"/>
      <c r="K582" s="109"/>
      <c r="L582" s="109"/>
    </row>
    <row r="583">
      <c r="J583" s="136"/>
      <c r="K583" s="109"/>
      <c r="L583" s="109"/>
    </row>
    <row r="584">
      <c r="J584" s="136"/>
      <c r="K584" s="109"/>
      <c r="L584" s="109"/>
    </row>
    <row r="585">
      <c r="J585" s="136"/>
      <c r="K585" s="109"/>
      <c r="L585" s="109"/>
    </row>
    <row r="586">
      <c r="J586" s="136"/>
      <c r="K586" s="109"/>
      <c r="L586" s="109"/>
    </row>
    <row r="587">
      <c r="J587" s="136"/>
      <c r="K587" s="109"/>
      <c r="L587" s="109"/>
    </row>
    <row r="588">
      <c r="J588" s="136"/>
      <c r="K588" s="109"/>
      <c r="L588" s="109"/>
    </row>
    <row r="589">
      <c r="J589" s="136"/>
      <c r="K589" s="109"/>
      <c r="L589" s="109"/>
    </row>
    <row r="590">
      <c r="J590" s="136"/>
      <c r="K590" s="109"/>
      <c r="L590" s="109"/>
    </row>
    <row r="591">
      <c r="J591" s="136"/>
      <c r="K591" s="109"/>
      <c r="L591" s="109"/>
    </row>
    <row r="592">
      <c r="J592" s="136"/>
      <c r="K592" s="109"/>
      <c r="L592" s="109"/>
    </row>
    <row r="593">
      <c r="J593" s="136"/>
      <c r="K593" s="109"/>
      <c r="L593" s="109"/>
    </row>
    <row r="594">
      <c r="J594" s="136"/>
      <c r="K594" s="109"/>
      <c r="L594" s="109"/>
    </row>
    <row r="595">
      <c r="J595" s="136"/>
      <c r="K595" s="109"/>
      <c r="L595" s="109"/>
    </row>
    <row r="596">
      <c r="J596" s="136"/>
      <c r="K596" s="109"/>
      <c r="L596" s="109"/>
    </row>
    <row r="597">
      <c r="J597" s="136"/>
      <c r="K597" s="109"/>
      <c r="L597" s="109"/>
    </row>
    <row r="598">
      <c r="J598" s="136"/>
      <c r="K598" s="109"/>
      <c r="L598" s="109"/>
    </row>
    <row r="599">
      <c r="J599" s="136"/>
      <c r="K599" s="109"/>
      <c r="L599" s="109"/>
    </row>
    <row r="600">
      <c r="J600" s="136"/>
      <c r="K600" s="109"/>
      <c r="L600" s="109"/>
    </row>
    <row r="601">
      <c r="J601" s="136"/>
      <c r="K601" s="109"/>
      <c r="L601" s="109"/>
    </row>
    <row r="602">
      <c r="J602" s="136"/>
      <c r="K602" s="109"/>
      <c r="L602" s="109"/>
    </row>
    <row r="603">
      <c r="J603" s="136"/>
      <c r="K603" s="109"/>
      <c r="L603" s="109"/>
    </row>
    <row r="604">
      <c r="J604" s="136"/>
      <c r="K604" s="109"/>
      <c r="L604" s="109"/>
    </row>
    <row r="605">
      <c r="J605" s="136"/>
      <c r="K605" s="109"/>
      <c r="L605" s="109"/>
    </row>
    <row r="606">
      <c r="J606" s="136"/>
      <c r="K606" s="109"/>
      <c r="L606" s="109"/>
    </row>
    <row r="607">
      <c r="J607" s="136"/>
      <c r="K607" s="109"/>
      <c r="L607" s="109"/>
    </row>
    <row r="608">
      <c r="J608" s="136"/>
      <c r="K608" s="109"/>
      <c r="L608" s="109"/>
    </row>
    <row r="609">
      <c r="J609" s="136"/>
      <c r="K609" s="109"/>
      <c r="L609" s="109"/>
    </row>
    <row r="610">
      <c r="J610" s="136"/>
      <c r="K610" s="109"/>
      <c r="L610" s="109"/>
    </row>
    <row r="611">
      <c r="J611" s="136"/>
      <c r="K611" s="109"/>
      <c r="L611" s="109"/>
    </row>
    <row r="612">
      <c r="J612" s="136"/>
      <c r="K612" s="109"/>
      <c r="L612" s="109"/>
    </row>
    <row r="613">
      <c r="J613" s="136"/>
      <c r="K613" s="109"/>
      <c r="L613" s="109"/>
    </row>
    <row r="614">
      <c r="J614" s="136"/>
      <c r="K614" s="109"/>
      <c r="L614" s="109"/>
    </row>
    <row r="615">
      <c r="J615" s="136"/>
      <c r="K615" s="109"/>
      <c r="L615" s="109"/>
    </row>
    <row r="616">
      <c r="J616" s="136"/>
      <c r="K616" s="109"/>
      <c r="L616" s="109"/>
    </row>
    <row r="617">
      <c r="J617" s="136"/>
      <c r="K617" s="109"/>
      <c r="L617" s="109"/>
    </row>
    <row r="618">
      <c r="J618" s="136"/>
      <c r="K618" s="109"/>
      <c r="L618" s="109"/>
    </row>
    <row r="619">
      <c r="J619" s="136"/>
      <c r="K619" s="109"/>
      <c r="L619" s="109"/>
    </row>
    <row r="620">
      <c r="J620" s="136"/>
      <c r="K620" s="109"/>
      <c r="L620" s="109"/>
    </row>
    <row r="621">
      <c r="J621" s="136"/>
      <c r="K621" s="109"/>
      <c r="L621" s="109"/>
    </row>
    <row r="622">
      <c r="J622" s="136"/>
      <c r="K622" s="109"/>
      <c r="L622" s="109"/>
    </row>
    <row r="623">
      <c r="J623" s="136"/>
      <c r="K623" s="109"/>
      <c r="L623" s="109"/>
    </row>
    <row r="624">
      <c r="J624" s="136"/>
      <c r="K624" s="109"/>
      <c r="L624" s="109"/>
    </row>
    <row r="625">
      <c r="J625" s="136"/>
      <c r="K625" s="109"/>
      <c r="L625" s="109"/>
    </row>
    <row r="626">
      <c r="J626" s="136"/>
      <c r="K626" s="109"/>
      <c r="L626" s="109"/>
    </row>
    <row r="627">
      <c r="J627" s="136"/>
      <c r="K627" s="109"/>
      <c r="L627" s="109"/>
    </row>
    <row r="628">
      <c r="J628" s="136"/>
      <c r="K628" s="109"/>
      <c r="L628" s="109"/>
    </row>
    <row r="629">
      <c r="J629" s="136"/>
      <c r="K629" s="109"/>
      <c r="L629" s="109"/>
    </row>
    <row r="630">
      <c r="J630" s="136"/>
      <c r="K630" s="109"/>
      <c r="L630" s="109"/>
    </row>
    <row r="631">
      <c r="J631" s="136"/>
      <c r="K631" s="109"/>
      <c r="L631" s="109"/>
    </row>
    <row r="632">
      <c r="J632" s="136"/>
      <c r="K632" s="109"/>
      <c r="L632" s="109"/>
    </row>
    <row r="633">
      <c r="J633" s="136"/>
      <c r="K633" s="109"/>
      <c r="L633" s="109"/>
    </row>
    <row r="634">
      <c r="J634" s="136"/>
      <c r="K634" s="109"/>
      <c r="L634" s="109"/>
    </row>
    <row r="635">
      <c r="J635" s="136"/>
      <c r="K635" s="109"/>
      <c r="L635" s="109"/>
    </row>
    <row r="636">
      <c r="J636" s="136"/>
      <c r="K636" s="109"/>
      <c r="L636" s="109"/>
    </row>
    <row r="637">
      <c r="J637" s="136"/>
      <c r="K637" s="109"/>
      <c r="L637" s="109"/>
    </row>
    <row r="638">
      <c r="J638" s="136"/>
      <c r="K638" s="109"/>
      <c r="L638" s="109"/>
    </row>
    <row r="639">
      <c r="J639" s="136"/>
      <c r="K639" s="109"/>
      <c r="L639" s="109"/>
    </row>
    <row r="640">
      <c r="J640" s="136"/>
      <c r="K640" s="109"/>
      <c r="L640" s="109"/>
    </row>
    <row r="641">
      <c r="J641" s="136"/>
      <c r="K641" s="109"/>
      <c r="L641" s="109"/>
    </row>
    <row r="642">
      <c r="J642" s="136"/>
      <c r="K642" s="109"/>
      <c r="L642" s="109"/>
    </row>
    <row r="643">
      <c r="J643" s="136"/>
      <c r="K643" s="109"/>
      <c r="L643" s="109"/>
    </row>
    <row r="644">
      <c r="J644" s="136"/>
      <c r="K644" s="109"/>
      <c r="L644" s="109"/>
    </row>
    <row r="645">
      <c r="J645" s="136"/>
      <c r="K645" s="109"/>
      <c r="L645" s="109"/>
    </row>
    <row r="646">
      <c r="J646" s="136"/>
      <c r="K646" s="109"/>
      <c r="L646" s="109"/>
    </row>
    <row r="647">
      <c r="J647" s="136"/>
      <c r="K647" s="109"/>
      <c r="L647" s="109"/>
    </row>
    <row r="648">
      <c r="J648" s="136"/>
      <c r="K648" s="109"/>
      <c r="L648" s="109"/>
    </row>
    <row r="649">
      <c r="J649" s="136"/>
      <c r="K649" s="109"/>
      <c r="L649" s="109"/>
    </row>
    <row r="650">
      <c r="J650" s="136"/>
      <c r="K650" s="109"/>
      <c r="L650" s="109"/>
    </row>
    <row r="651">
      <c r="J651" s="136"/>
      <c r="K651" s="109"/>
      <c r="L651" s="109"/>
    </row>
    <row r="652">
      <c r="J652" s="136"/>
      <c r="K652" s="109"/>
      <c r="L652" s="109"/>
    </row>
    <row r="653">
      <c r="J653" s="136"/>
      <c r="K653" s="109"/>
      <c r="L653" s="109"/>
    </row>
    <row r="654">
      <c r="J654" s="136"/>
      <c r="K654" s="109"/>
      <c r="L654" s="109"/>
    </row>
    <row r="655">
      <c r="J655" s="136"/>
      <c r="K655" s="109"/>
      <c r="L655" s="109"/>
    </row>
    <row r="656">
      <c r="J656" s="136"/>
      <c r="K656" s="109"/>
      <c r="L656" s="109"/>
    </row>
    <row r="657">
      <c r="J657" s="136"/>
      <c r="K657" s="109"/>
      <c r="L657" s="109"/>
    </row>
    <row r="658">
      <c r="J658" s="136"/>
      <c r="K658" s="109"/>
      <c r="L658" s="109"/>
    </row>
    <row r="659">
      <c r="J659" s="136"/>
      <c r="K659" s="109"/>
      <c r="L659" s="109"/>
    </row>
    <row r="660">
      <c r="J660" s="136"/>
      <c r="K660" s="109"/>
      <c r="L660" s="109"/>
    </row>
    <row r="661">
      <c r="J661" s="136"/>
      <c r="K661" s="109"/>
      <c r="L661" s="109"/>
    </row>
    <row r="662">
      <c r="J662" s="136"/>
      <c r="K662" s="109"/>
      <c r="L662" s="109"/>
    </row>
    <row r="663">
      <c r="J663" s="136"/>
      <c r="K663" s="109"/>
      <c r="L663" s="109"/>
    </row>
    <row r="664">
      <c r="J664" s="136"/>
      <c r="K664" s="109"/>
      <c r="L664" s="109"/>
    </row>
    <row r="665">
      <c r="J665" s="136"/>
      <c r="K665" s="109"/>
      <c r="L665" s="109"/>
    </row>
    <row r="666">
      <c r="J666" s="136"/>
      <c r="K666" s="109"/>
      <c r="L666" s="109"/>
    </row>
    <row r="667">
      <c r="J667" s="136"/>
      <c r="K667" s="109"/>
      <c r="L667" s="109"/>
    </row>
    <row r="668">
      <c r="J668" s="136"/>
      <c r="K668" s="109"/>
      <c r="L668" s="109"/>
    </row>
    <row r="669">
      <c r="J669" s="136"/>
      <c r="K669" s="109"/>
      <c r="L669" s="109"/>
    </row>
    <row r="670">
      <c r="J670" s="136"/>
      <c r="K670" s="109"/>
      <c r="L670" s="109"/>
    </row>
    <row r="671">
      <c r="J671" s="136"/>
      <c r="K671" s="109"/>
      <c r="L671" s="109"/>
    </row>
    <row r="672">
      <c r="J672" s="136"/>
      <c r="K672" s="109"/>
      <c r="L672" s="109"/>
    </row>
    <row r="673">
      <c r="J673" s="136"/>
      <c r="K673" s="109"/>
      <c r="L673" s="109"/>
    </row>
    <row r="674">
      <c r="J674" s="136"/>
      <c r="K674" s="109"/>
      <c r="L674" s="109"/>
    </row>
    <row r="675">
      <c r="J675" s="136"/>
      <c r="K675" s="109"/>
      <c r="L675" s="109"/>
    </row>
    <row r="676">
      <c r="J676" s="136"/>
      <c r="K676" s="109"/>
      <c r="L676" s="109"/>
    </row>
    <row r="677">
      <c r="J677" s="136"/>
      <c r="K677" s="109"/>
      <c r="L677" s="109"/>
    </row>
    <row r="678">
      <c r="J678" s="136"/>
      <c r="K678" s="109"/>
      <c r="L678" s="109"/>
    </row>
    <row r="679">
      <c r="J679" s="136"/>
      <c r="K679" s="109"/>
      <c r="L679" s="109"/>
    </row>
    <row r="680">
      <c r="J680" s="136"/>
      <c r="K680" s="109"/>
      <c r="L680" s="109"/>
    </row>
    <row r="681">
      <c r="J681" s="136"/>
      <c r="K681" s="109"/>
      <c r="L681" s="109"/>
    </row>
    <row r="682">
      <c r="J682" s="136"/>
      <c r="K682" s="109"/>
      <c r="L682" s="109"/>
    </row>
    <row r="683">
      <c r="J683" s="136"/>
      <c r="K683" s="109"/>
      <c r="L683" s="109"/>
    </row>
    <row r="684">
      <c r="J684" s="136"/>
      <c r="K684" s="109"/>
      <c r="L684" s="109"/>
    </row>
    <row r="685">
      <c r="J685" s="136"/>
      <c r="K685" s="109"/>
      <c r="L685" s="109"/>
    </row>
    <row r="686">
      <c r="J686" s="136"/>
      <c r="K686" s="109"/>
      <c r="L686" s="109"/>
    </row>
    <row r="687">
      <c r="J687" s="136"/>
      <c r="K687" s="109"/>
      <c r="L687" s="109"/>
    </row>
    <row r="688">
      <c r="J688" s="136"/>
      <c r="K688" s="109"/>
      <c r="L688" s="109"/>
    </row>
    <row r="689">
      <c r="J689" s="136"/>
      <c r="K689" s="109"/>
      <c r="L689" s="109"/>
    </row>
    <row r="690">
      <c r="J690" s="136"/>
      <c r="K690" s="109"/>
      <c r="L690" s="109"/>
    </row>
    <row r="691">
      <c r="J691" s="136"/>
      <c r="K691" s="109"/>
      <c r="L691" s="109"/>
    </row>
    <row r="692">
      <c r="J692" s="136"/>
      <c r="K692" s="109"/>
      <c r="L692" s="109"/>
    </row>
    <row r="693">
      <c r="J693" s="136"/>
      <c r="K693" s="109"/>
      <c r="L693" s="109"/>
    </row>
    <row r="694">
      <c r="J694" s="136"/>
      <c r="K694" s="109"/>
      <c r="L694" s="109"/>
    </row>
    <row r="695">
      <c r="J695" s="136"/>
      <c r="K695" s="109"/>
      <c r="L695" s="109"/>
    </row>
    <row r="696">
      <c r="J696" s="136"/>
      <c r="K696" s="109"/>
      <c r="L696" s="109"/>
    </row>
    <row r="697">
      <c r="J697" s="136"/>
      <c r="K697" s="109"/>
      <c r="L697" s="109"/>
    </row>
    <row r="698">
      <c r="J698" s="136"/>
      <c r="K698" s="109"/>
      <c r="L698" s="109"/>
    </row>
    <row r="699">
      <c r="J699" s="136"/>
      <c r="K699" s="109"/>
      <c r="L699" s="109"/>
    </row>
    <row r="700">
      <c r="J700" s="136"/>
      <c r="K700" s="109"/>
      <c r="L700" s="109"/>
    </row>
    <row r="701">
      <c r="J701" s="136"/>
      <c r="K701" s="109"/>
      <c r="L701" s="109"/>
    </row>
    <row r="702">
      <c r="J702" s="136"/>
      <c r="K702" s="109"/>
      <c r="L702" s="109"/>
    </row>
    <row r="703">
      <c r="J703" s="136"/>
      <c r="K703" s="109"/>
      <c r="L703" s="109"/>
    </row>
    <row r="704">
      <c r="J704" s="136"/>
      <c r="K704" s="109"/>
      <c r="L704" s="109"/>
    </row>
    <row r="705">
      <c r="J705" s="136"/>
      <c r="K705" s="109"/>
      <c r="L705" s="109"/>
    </row>
    <row r="706">
      <c r="J706" s="136"/>
      <c r="K706" s="109"/>
      <c r="L706" s="109"/>
    </row>
    <row r="707">
      <c r="J707" s="136"/>
      <c r="K707" s="109"/>
      <c r="L707" s="109"/>
    </row>
    <row r="708">
      <c r="J708" s="136"/>
      <c r="K708" s="109"/>
      <c r="L708" s="109"/>
    </row>
    <row r="709">
      <c r="J709" s="136"/>
      <c r="K709" s="109"/>
      <c r="L709" s="109"/>
    </row>
    <row r="710">
      <c r="J710" s="136"/>
      <c r="K710" s="109"/>
      <c r="L710" s="109"/>
    </row>
    <row r="711">
      <c r="J711" s="136"/>
      <c r="K711" s="109"/>
      <c r="L711" s="109"/>
    </row>
    <row r="712">
      <c r="J712" s="136"/>
      <c r="K712" s="109"/>
      <c r="L712" s="109"/>
    </row>
    <row r="713">
      <c r="J713" s="136"/>
      <c r="K713" s="109"/>
      <c r="L713" s="109"/>
    </row>
    <row r="714">
      <c r="J714" s="136"/>
      <c r="K714" s="109"/>
      <c r="L714" s="109"/>
    </row>
    <row r="715">
      <c r="J715" s="136"/>
      <c r="K715" s="109"/>
      <c r="L715" s="109"/>
    </row>
    <row r="716">
      <c r="J716" s="136"/>
      <c r="K716" s="109"/>
      <c r="L716" s="109"/>
    </row>
    <row r="717">
      <c r="J717" s="136"/>
      <c r="K717" s="109"/>
      <c r="L717" s="109"/>
    </row>
    <row r="718">
      <c r="J718" s="136"/>
      <c r="K718" s="109"/>
      <c r="L718" s="109"/>
    </row>
    <row r="719">
      <c r="J719" s="136"/>
      <c r="K719" s="109"/>
      <c r="L719" s="109"/>
    </row>
    <row r="720">
      <c r="J720" s="136"/>
      <c r="K720" s="109"/>
      <c r="L720" s="109"/>
    </row>
    <row r="721">
      <c r="J721" s="136"/>
      <c r="K721" s="109"/>
      <c r="L721" s="109"/>
    </row>
    <row r="722">
      <c r="J722" s="136"/>
      <c r="K722" s="109"/>
      <c r="L722" s="109"/>
    </row>
    <row r="723">
      <c r="J723" s="136"/>
      <c r="K723" s="109"/>
      <c r="L723" s="109"/>
    </row>
    <row r="724">
      <c r="J724" s="136"/>
      <c r="K724" s="109"/>
      <c r="L724" s="109"/>
    </row>
    <row r="725">
      <c r="J725" s="136"/>
      <c r="K725" s="109"/>
      <c r="L725" s="109"/>
    </row>
    <row r="726">
      <c r="J726" s="136"/>
      <c r="K726" s="109"/>
      <c r="L726" s="109"/>
    </row>
    <row r="727">
      <c r="J727" s="136"/>
      <c r="K727" s="109"/>
      <c r="L727" s="109"/>
    </row>
    <row r="728">
      <c r="J728" s="136"/>
      <c r="K728" s="109"/>
      <c r="L728" s="109"/>
    </row>
    <row r="729">
      <c r="J729" s="136"/>
      <c r="K729" s="109"/>
      <c r="L729" s="109"/>
    </row>
    <row r="730">
      <c r="J730" s="136"/>
      <c r="K730" s="109"/>
      <c r="L730" s="109"/>
    </row>
    <row r="731">
      <c r="J731" s="136"/>
      <c r="K731" s="109"/>
      <c r="L731" s="109"/>
    </row>
    <row r="732">
      <c r="J732" s="136"/>
      <c r="K732" s="109"/>
      <c r="L732" s="109"/>
    </row>
    <row r="733">
      <c r="J733" s="136"/>
      <c r="K733" s="109"/>
      <c r="L733" s="109"/>
    </row>
    <row r="734">
      <c r="J734" s="136"/>
      <c r="K734" s="109"/>
      <c r="L734" s="109"/>
    </row>
    <row r="735">
      <c r="J735" s="136"/>
      <c r="K735" s="109"/>
      <c r="L735" s="109"/>
    </row>
    <row r="736">
      <c r="J736" s="136"/>
      <c r="K736" s="109"/>
      <c r="L736" s="109"/>
    </row>
    <row r="737">
      <c r="J737" s="136"/>
      <c r="K737" s="109"/>
      <c r="L737" s="109"/>
    </row>
    <row r="738">
      <c r="J738" s="136"/>
      <c r="K738" s="109"/>
      <c r="L738" s="109"/>
    </row>
    <row r="739">
      <c r="J739" s="136"/>
      <c r="K739" s="109"/>
      <c r="L739" s="109"/>
    </row>
    <row r="740">
      <c r="J740" s="136"/>
      <c r="K740" s="109"/>
      <c r="L740" s="109"/>
    </row>
    <row r="741">
      <c r="J741" s="136"/>
      <c r="K741" s="109"/>
      <c r="L741" s="109"/>
    </row>
    <row r="742">
      <c r="J742" s="136"/>
      <c r="K742" s="109"/>
      <c r="L742" s="109"/>
    </row>
    <row r="743">
      <c r="J743" s="136"/>
      <c r="K743" s="109"/>
      <c r="L743" s="109"/>
    </row>
    <row r="744">
      <c r="J744" s="136"/>
      <c r="K744" s="109"/>
      <c r="L744" s="109"/>
    </row>
    <row r="745">
      <c r="J745" s="136"/>
      <c r="K745" s="109"/>
      <c r="L745" s="109"/>
    </row>
    <row r="746">
      <c r="J746" s="136"/>
      <c r="K746" s="109"/>
      <c r="L746" s="109"/>
    </row>
    <row r="747">
      <c r="J747" s="136"/>
      <c r="K747" s="109"/>
      <c r="L747" s="109"/>
    </row>
    <row r="748">
      <c r="J748" s="136"/>
      <c r="K748" s="109"/>
      <c r="L748" s="109"/>
    </row>
    <row r="749">
      <c r="J749" s="136"/>
      <c r="K749" s="109"/>
      <c r="L749" s="109"/>
    </row>
    <row r="750">
      <c r="J750" s="136"/>
      <c r="K750" s="109"/>
      <c r="L750" s="109"/>
    </row>
    <row r="751">
      <c r="J751" s="136"/>
      <c r="K751" s="109"/>
      <c r="L751" s="109"/>
    </row>
    <row r="752">
      <c r="J752" s="136"/>
      <c r="K752" s="109"/>
      <c r="L752" s="109"/>
    </row>
    <row r="753">
      <c r="J753" s="136"/>
      <c r="K753" s="109"/>
      <c r="L753" s="109"/>
    </row>
    <row r="754">
      <c r="J754" s="136"/>
      <c r="K754" s="109"/>
      <c r="L754" s="109"/>
    </row>
    <row r="755">
      <c r="J755" s="136"/>
      <c r="K755" s="109"/>
      <c r="L755" s="109"/>
    </row>
    <row r="756">
      <c r="J756" s="136"/>
      <c r="K756" s="109"/>
      <c r="L756" s="109"/>
    </row>
    <row r="757">
      <c r="J757" s="136"/>
      <c r="K757" s="109"/>
      <c r="L757" s="109"/>
    </row>
    <row r="758">
      <c r="J758" s="136"/>
      <c r="K758" s="109"/>
      <c r="L758" s="109"/>
    </row>
    <row r="759">
      <c r="J759" s="136"/>
      <c r="K759" s="109"/>
      <c r="L759" s="109"/>
    </row>
    <row r="760">
      <c r="J760" s="136"/>
      <c r="K760" s="109"/>
      <c r="L760" s="109"/>
    </row>
    <row r="761">
      <c r="J761" s="136"/>
      <c r="K761" s="109"/>
      <c r="L761" s="109"/>
    </row>
    <row r="762">
      <c r="J762" s="136"/>
      <c r="K762" s="109"/>
      <c r="L762" s="109"/>
    </row>
    <row r="763">
      <c r="J763" s="136"/>
      <c r="K763" s="109"/>
      <c r="L763" s="109"/>
    </row>
    <row r="764">
      <c r="J764" s="136"/>
      <c r="K764" s="109"/>
      <c r="L764" s="109"/>
    </row>
    <row r="765">
      <c r="J765" s="136"/>
      <c r="K765" s="109"/>
      <c r="L765" s="109"/>
    </row>
    <row r="766">
      <c r="J766" s="136"/>
      <c r="K766" s="109"/>
      <c r="L766" s="109"/>
    </row>
    <row r="767">
      <c r="J767" s="136"/>
      <c r="K767" s="109"/>
      <c r="L767" s="109"/>
    </row>
    <row r="768">
      <c r="J768" s="136"/>
      <c r="K768" s="109"/>
      <c r="L768" s="109"/>
    </row>
    <row r="769">
      <c r="J769" s="136"/>
      <c r="K769" s="109"/>
      <c r="L769" s="109"/>
    </row>
    <row r="770">
      <c r="J770" s="136"/>
      <c r="K770" s="109"/>
      <c r="L770" s="109"/>
    </row>
    <row r="771">
      <c r="J771" s="136"/>
      <c r="K771" s="109"/>
      <c r="L771" s="109"/>
    </row>
    <row r="772">
      <c r="J772" s="136"/>
      <c r="K772" s="109"/>
      <c r="L772" s="109"/>
    </row>
    <row r="773">
      <c r="J773" s="136"/>
      <c r="K773" s="109"/>
      <c r="L773" s="109"/>
    </row>
    <row r="774">
      <c r="J774" s="136"/>
      <c r="K774" s="109"/>
      <c r="L774" s="109"/>
    </row>
    <row r="775">
      <c r="J775" s="136"/>
      <c r="K775" s="109"/>
      <c r="L775" s="109"/>
    </row>
    <row r="776">
      <c r="J776" s="136"/>
      <c r="K776" s="109"/>
      <c r="L776" s="109"/>
    </row>
    <row r="777">
      <c r="J777" s="136"/>
      <c r="K777" s="109"/>
      <c r="L777" s="109"/>
    </row>
    <row r="778">
      <c r="J778" s="136"/>
      <c r="K778" s="109"/>
      <c r="L778" s="109"/>
    </row>
    <row r="779">
      <c r="J779" s="136"/>
      <c r="K779" s="109"/>
      <c r="L779" s="109"/>
    </row>
    <row r="780">
      <c r="J780" s="136"/>
      <c r="K780" s="109"/>
      <c r="L780" s="109"/>
    </row>
    <row r="781">
      <c r="J781" s="136"/>
      <c r="K781" s="109"/>
      <c r="L781" s="109"/>
    </row>
    <row r="782">
      <c r="J782" s="136"/>
      <c r="K782" s="109"/>
      <c r="L782" s="109"/>
    </row>
    <row r="783">
      <c r="J783" s="136"/>
      <c r="K783" s="109"/>
      <c r="L783" s="109"/>
    </row>
    <row r="784">
      <c r="J784" s="136"/>
      <c r="K784" s="109"/>
      <c r="L784" s="109"/>
    </row>
    <row r="785">
      <c r="J785" s="136"/>
      <c r="K785" s="109"/>
      <c r="L785" s="109"/>
    </row>
    <row r="786">
      <c r="J786" s="136"/>
      <c r="K786" s="109"/>
      <c r="L786" s="109"/>
    </row>
    <row r="787">
      <c r="J787" s="136"/>
      <c r="K787" s="109"/>
      <c r="L787" s="109"/>
    </row>
    <row r="788">
      <c r="J788" s="136"/>
      <c r="K788" s="109"/>
      <c r="L788" s="109"/>
    </row>
    <row r="789">
      <c r="J789" s="136"/>
      <c r="K789" s="109"/>
      <c r="L789" s="109"/>
    </row>
    <row r="790">
      <c r="J790" s="136"/>
      <c r="K790" s="109"/>
      <c r="L790" s="109"/>
    </row>
    <row r="791">
      <c r="J791" s="136"/>
      <c r="K791" s="109"/>
      <c r="L791" s="109"/>
    </row>
    <row r="792">
      <c r="J792" s="136"/>
      <c r="K792" s="109"/>
      <c r="L792" s="109"/>
    </row>
    <row r="793">
      <c r="J793" s="136"/>
      <c r="K793" s="109"/>
      <c r="L793" s="109"/>
    </row>
    <row r="794">
      <c r="J794" s="136"/>
      <c r="K794" s="109"/>
      <c r="L794" s="109"/>
    </row>
    <row r="795">
      <c r="J795" s="136"/>
      <c r="K795" s="109"/>
      <c r="L795" s="109"/>
    </row>
    <row r="796">
      <c r="J796" s="136"/>
      <c r="K796" s="109"/>
      <c r="L796" s="109"/>
    </row>
    <row r="797">
      <c r="J797" s="136"/>
      <c r="K797" s="109"/>
      <c r="L797" s="109"/>
    </row>
    <row r="798">
      <c r="J798" s="136"/>
      <c r="K798" s="109"/>
      <c r="L798" s="109"/>
    </row>
    <row r="799">
      <c r="J799" s="136"/>
      <c r="K799" s="109"/>
      <c r="L799" s="109"/>
    </row>
    <row r="800">
      <c r="J800" s="136"/>
      <c r="K800" s="109"/>
      <c r="L800" s="109"/>
    </row>
    <row r="801">
      <c r="J801" s="136"/>
      <c r="K801" s="109"/>
      <c r="L801" s="109"/>
    </row>
    <row r="802">
      <c r="J802" s="136"/>
      <c r="K802" s="109"/>
      <c r="L802" s="109"/>
    </row>
    <row r="803">
      <c r="J803" s="136"/>
      <c r="K803" s="109"/>
      <c r="L803" s="109"/>
    </row>
    <row r="804">
      <c r="J804" s="136"/>
      <c r="K804" s="109"/>
      <c r="L804" s="109"/>
    </row>
    <row r="805">
      <c r="J805" s="136"/>
      <c r="K805" s="109"/>
      <c r="L805" s="109"/>
    </row>
    <row r="806">
      <c r="J806" s="136"/>
      <c r="K806" s="109"/>
      <c r="L806" s="109"/>
    </row>
    <row r="807">
      <c r="J807" s="136"/>
      <c r="K807" s="109"/>
      <c r="L807" s="109"/>
    </row>
    <row r="808">
      <c r="J808" s="136"/>
      <c r="K808" s="109"/>
      <c r="L808" s="109"/>
    </row>
    <row r="809">
      <c r="J809" s="136"/>
      <c r="K809" s="109"/>
      <c r="L809" s="109"/>
    </row>
    <row r="810">
      <c r="J810" s="136"/>
      <c r="K810" s="109"/>
      <c r="L810" s="109"/>
    </row>
    <row r="811">
      <c r="J811" s="136"/>
      <c r="K811" s="109"/>
      <c r="L811" s="109"/>
    </row>
    <row r="812">
      <c r="J812" s="136"/>
      <c r="K812" s="109"/>
      <c r="L812" s="109"/>
    </row>
    <row r="813">
      <c r="J813" s="136"/>
      <c r="K813" s="109"/>
      <c r="L813" s="109"/>
    </row>
    <row r="814">
      <c r="J814" s="136"/>
      <c r="K814" s="109"/>
      <c r="L814" s="109"/>
    </row>
    <row r="815">
      <c r="J815" s="136"/>
      <c r="K815" s="109"/>
      <c r="L815" s="109"/>
    </row>
    <row r="816">
      <c r="J816" s="136"/>
      <c r="K816" s="109"/>
      <c r="L816" s="109"/>
    </row>
    <row r="817">
      <c r="J817" s="136"/>
      <c r="K817" s="109"/>
      <c r="L817" s="109"/>
    </row>
    <row r="818">
      <c r="J818" s="136"/>
      <c r="K818" s="109"/>
      <c r="L818" s="109"/>
    </row>
    <row r="819">
      <c r="J819" s="136"/>
      <c r="K819" s="109"/>
      <c r="L819" s="109"/>
    </row>
    <row r="820">
      <c r="J820" s="136"/>
      <c r="K820" s="109"/>
      <c r="L820" s="109"/>
    </row>
    <row r="821">
      <c r="J821" s="136"/>
      <c r="K821" s="109"/>
      <c r="L821" s="109"/>
    </row>
    <row r="822">
      <c r="J822" s="136"/>
      <c r="K822" s="109"/>
      <c r="L822" s="109"/>
    </row>
    <row r="823">
      <c r="J823" s="136"/>
      <c r="K823" s="109"/>
      <c r="L823" s="109"/>
    </row>
    <row r="824">
      <c r="J824" s="136"/>
      <c r="K824" s="109"/>
      <c r="L824" s="109"/>
    </row>
    <row r="825">
      <c r="J825" s="136"/>
      <c r="K825" s="109"/>
      <c r="L825" s="109"/>
    </row>
    <row r="826">
      <c r="J826" s="136"/>
      <c r="K826" s="109"/>
      <c r="L826" s="109"/>
    </row>
    <row r="827">
      <c r="J827" s="136"/>
      <c r="K827" s="109"/>
      <c r="L827" s="109"/>
    </row>
    <row r="828">
      <c r="J828" s="136"/>
      <c r="K828" s="109"/>
      <c r="L828" s="109"/>
    </row>
    <row r="829">
      <c r="J829" s="136"/>
      <c r="K829" s="109"/>
      <c r="L829" s="109"/>
    </row>
    <row r="830">
      <c r="J830" s="136"/>
      <c r="K830" s="109"/>
      <c r="L830" s="109"/>
    </row>
    <row r="831">
      <c r="J831" s="136"/>
      <c r="K831" s="109"/>
      <c r="L831" s="109"/>
    </row>
    <row r="832">
      <c r="J832" s="136"/>
      <c r="K832" s="109"/>
      <c r="L832" s="109"/>
    </row>
    <row r="833">
      <c r="J833" s="136"/>
      <c r="K833" s="109"/>
      <c r="L833" s="109"/>
    </row>
    <row r="834">
      <c r="J834" s="136"/>
      <c r="K834" s="109"/>
      <c r="L834" s="109"/>
    </row>
    <row r="835">
      <c r="J835" s="136"/>
      <c r="K835" s="109"/>
      <c r="L835" s="109"/>
    </row>
    <row r="836">
      <c r="J836" s="136"/>
      <c r="K836" s="109"/>
      <c r="L836" s="109"/>
    </row>
    <row r="837">
      <c r="J837" s="136"/>
      <c r="K837" s="109"/>
      <c r="L837" s="109"/>
    </row>
    <row r="838">
      <c r="J838" s="136"/>
      <c r="K838" s="109"/>
      <c r="L838" s="109"/>
    </row>
    <row r="839">
      <c r="J839" s="136"/>
      <c r="K839" s="109"/>
      <c r="L839" s="109"/>
    </row>
    <row r="840">
      <c r="J840" s="136"/>
      <c r="K840" s="109"/>
      <c r="L840" s="109"/>
    </row>
    <row r="841">
      <c r="J841" s="136"/>
      <c r="K841" s="109"/>
      <c r="L841" s="109"/>
    </row>
    <row r="842">
      <c r="J842" s="136"/>
      <c r="K842" s="109"/>
      <c r="L842" s="109"/>
    </row>
    <row r="843">
      <c r="J843" s="136"/>
      <c r="K843" s="109"/>
      <c r="L843" s="109"/>
    </row>
    <row r="844">
      <c r="J844" s="136"/>
      <c r="K844" s="109"/>
      <c r="L844" s="109"/>
    </row>
    <row r="845">
      <c r="J845" s="136"/>
      <c r="K845" s="109"/>
      <c r="L845" s="109"/>
    </row>
    <row r="846">
      <c r="J846" s="136"/>
      <c r="K846" s="109"/>
      <c r="L846" s="109"/>
    </row>
    <row r="847">
      <c r="J847" s="136"/>
      <c r="K847" s="109"/>
      <c r="L847" s="109"/>
    </row>
    <row r="848">
      <c r="J848" s="136"/>
      <c r="K848" s="109"/>
      <c r="L848" s="109"/>
    </row>
    <row r="849">
      <c r="J849" s="136"/>
      <c r="K849" s="109"/>
      <c r="L849" s="109"/>
    </row>
    <row r="850">
      <c r="J850" s="136"/>
      <c r="K850" s="109"/>
      <c r="L850" s="109"/>
    </row>
    <row r="851">
      <c r="J851" s="136"/>
      <c r="K851" s="109"/>
      <c r="L851" s="109"/>
    </row>
    <row r="852">
      <c r="J852" s="136"/>
      <c r="K852" s="109"/>
      <c r="L852" s="109"/>
    </row>
    <row r="853">
      <c r="J853" s="136"/>
      <c r="K853" s="109"/>
      <c r="L853" s="109"/>
    </row>
    <row r="854">
      <c r="J854" s="136"/>
      <c r="K854" s="109"/>
      <c r="L854" s="109"/>
    </row>
    <row r="855">
      <c r="J855" s="136"/>
      <c r="K855" s="109"/>
      <c r="L855" s="109"/>
    </row>
    <row r="856">
      <c r="J856" s="136"/>
      <c r="K856" s="109"/>
      <c r="L856" s="109"/>
    </row>
    <row r="857">
      <c r="J857" s="136"/>
      <c r="K857" s="109"/>
      <c r="L857" s="109"/>
    </row>
    <row r="858">
      <c r="J858" s="136"/>
      <c r="K858" s="109"/>
      <c r="L858" s="109"/>
    </row>
    <row r="859">
      <c r="J859" s="136"/>
      <c r="K859" s="109"/>
      <c r="L859" s="109"/>
    </row>
    <row r="860">
      <c r="J860" s="136"/>
      <c r="K860" s="109"/>
      <c r="L860" s="109"/>
    </row>
    <row r="861">
      <c r="J861" s="136"/>
      <c r="K861" s="109"/>
      <c r="L861" s="109"/>
    </row>
    <row r="862">
      <c r="J862" s="136"/>
      <c r="K862" s="109"/>
      <c r="L862" s="109"/>
    </row>
    <row r="863">
      <c r="J863" s="136"/>
      <c r="K863" s="109"/>
      <c r="L863" s="109"/>
    </row>
    <row r="864">
      <c r="J864" s="136"/>
      <c r="K864" s="109"/>
      <c r="L864" s="109"/>
    </row>
    <row r="865">
      <c r="J865" s="136"/>
      <c r="K865" s="109"/>
      <c r="L865" s="109"/>
    </row>
    <row r="866">
      <c r="J866" s="136"/>
      <c r="K866" s="109"/>
      <c r="L866" s="109"/>
    </row>
    <row r="867">
      <c r="J867" s="136"/>
      <c r="K867" s="109"/>
      <c r="L867" s="109"/>
    </row>
    <row r="868">
      <c r="J868" s="136"/>
      <c r="K868" s="109"/>
      <c r="L868" s="109"/>
    </row>
    <row r="869">
      <c r="J869" s="136"/>
      <c r="K869" s="109"/>
      <c r="L869" s="109"/>
    </row>
    <row r="870">
      <c r="J870" s="136"/>
      <c r="K870" s="109"/>
      <c r="L870" s="109"/>
    </row>
    <row r="871">
      <c r="J871" s="136"/>
      <c r="K871" s="109"/>
      <c r="L871" s="109"/>
    </row>
    <row r="872">
      <c r="J872" s="136"/>
      <c r="K872" s="109"/>
      <c r="L872" s="109"/>
    </row>
    <row r="873">
      <c r="J873" s="136"/>
      <c r="K873" s="109"/>
      <c r="L873" s="109"/>
    </row>
    <row r="874">
      <c r="J874" s="136"/>
      <c r="K874" s="109"/>
      <c r="L874" s="109"/>
    </row>
    <row r="875">
      <c r="J875" s="136"/>
      <c r="K875" s="109"/>
      <c r="L875" s="109"/>
    </row>
    <row r="876">
      <c r="J876" s="136"/>
      <c r="K876" s="109"/>
      <c r="L876" s="109"/>
    </row>
    <row r="877">
      <c r="J877" s="136"/>
      <c r="K877" s="109"/>
      <c r="L877" s="109"/>
    </row>
    <row r="878">
      <c r="J878" s="136"/>
      <c r="K878" s="109"/>
      <c r="L878" s="109"/>
    </row>
    <row r="879">
      <c r="J879" s="136"/>
      <c r="K879" s="109"/>
      <c r="L879" s="109"/>
    </row>
    <row r="880">
      <c r="J880" s="136"/>
      <c r="K880" s="109"/>
      <c r="L880" s="109"/>
    </row>
    <row r="881">
      <c r="J881" s="136"/>
      <c r="K881" s="109"/>
      <c r="L881" s="109"/>
    </row>
    <row r="882">
      <c r="J882" s="136"/>
      <c r="K882" s="109"/>
      <c r="L882" s="109"/>
    </row>
    <row r="883">
      <c r="J883" s="136"/>
      <c r="K883" s="109"/>
      <c r="L883" s="109"/>
    </row>
    <row r="884">
      <c r="J884" s="136"/>
      <c r="K884" s="109"/>
      <c r="L884" s="109"/>
    </row>
    <row r="885">
      <c r="J885" s="136"/>
      <c r="K885" s="109"/>
      <c r="L885" s="109"/>
    </row>
    <row r="886">
      <c r="J886" s="136"/>
      <c r="K886" s="109"/>
      <c r="L886" s="109"/>
    </row>
    <row r="887">
      <c r="J887" s="136"/>
      <c r="K887" s="109"/>
      <c r="L887" s="109"/>
    </row>
    <row r="888">
      <c r="J888" s="136"/>
      <c r="K888" s="109"/>
      <c r="L888" s="109"/>
    </row>
    <row r="889">
      <c r="J889" s="136"/>
      <c r="K889" s="109"/>
      <c r="L889" s="109"/>
    </row>
    <row r="890">
      <c r="J890" s="136"/>
      <c r="K890" s="109"/>
      <c r="L890" s="109"/>
    </row>
    <row r="891">
      <c r="J891" s="136"/>
      <c r="K891" s="109"/>
      <c r="L891" s="109"/>
    </row>
    <row r="892">
      <c r="J892" s="136"/>
      <c r="K892" s="109"/>
      <c r="L892" s="109"/>
    </row>
    <row r="893">
      <c r="J893" s="136"/>
      <c r="K893" s="109"/>
      <c r="L893" s="109"/>
    </row>
    <row r="894">
      <c r="J894" s="136"/>
      <c r="K894" s="109"/>
      <c r="L894" s="109"/>
    </row>
    <row r="895">
      <c r="J895" s="136"/>
      <c r="K895" s="109"/>
      <c r="L895" s="109"/>
    </row>
    <row r="896">
      <c r="J896" s="136"/>
      <c r="K896" s="109"/>
      <c r="L896" s="109"/>
    </row>
    <row r="897">
      <c r="J897" s="136"/>
      <c r="K897" s="109"/>
      <c r="L897" s="109"/>
    </row>
    <row r="898">
      <c r="J898" s="136"/>
      <c r="K898" s="109"/>
      <c r="L898" s="109"/>
    </row>
    <row r="899">
      <c r="J899" s="136"/>
      <c r="K899" s="109"/>
      <c r="L899" s="109"/>
    </row>
    <row r="900">
      <c r="J900" s="136"/>
      <c r="K900" s="109"/>
      <c r="L900" s="109"/>
    </row>
    <row r="901">
      <c r="J901" s="136"/>
      <c r="K901" s="109"/>
      <c r="L901" s="109"/>
    </row>
    <row r="902">
      <c r="J902" s="136"/>
      <c r="K902" s="109"/>
      <c r="L902" s="109"/>
    </row>
    <row r="903">
      <c r="J903" s="136"/>
      <c r="K903" s="109"/>
      <c r="L903" s="109"/>
    </row>
    <row r="904">
      <c r="J904" s="136"/>
      <c r="K904" s="109"/>
      <c r="L904" s="109"/>
    </row>
    <row r="905">
      <c r="J905" s="136"/>
      <c r="K905" s="109"/>
      <c r="L905" s="109"/>
    </row>
    <row r="906">
      <c r="J906" s="136"/>
      <c r="K906" s="109"/>
      <c r="L906" s="109"/>
    </row>
    <row r="907">
      <c r="J907" s="136"/>
      <c r="K907" s="109"/>
      <c r="L907" s="109"/>
    </row>
    <row r="908">
      <c r="J908" s="136"/>
      <c r="K908" s="109"/>
      <c r="L908" s="109"/>
    </row>
    <row r="909">
      <c r="J909" s="136"/>
      <c r="K909" s="109"/>
      <c r="L909" s="109"/>
    </row>
    <row r="910">
      <c r="J910" s="136"/>
      <c r="K910" s="109"/>
      <c r="L910" s="109"/>
    </row>
    <row r="911">
      <c r="J911" s="136"/>
      <c r="K911" s="109"/>
      <c r="L911" s="109"/>
    </row>
    <row r="912">
      <c r="J912" s="136"/>
      <c r="K912" s="109"/>
      <c r="L912" s="109"/>
    </row>
    <row r="913">
      <c r="J913" s="136"/>
      <c r="K913" s="109"/>
      <c r="L913" s="109"/>
    </row>
    <row r="914">
      <c r="J914" s="136"/>
      <c r="K914" s="109"/>
      <c r="L914" s="109"/>
    </row>
    <row r="915">
      <c r="J915" s="136"/>
      <c r="K915" s="109"/>
      <c r="L915" s="109"/>
    </row>
    <row r="916">
      <c r="J916" s="136"/>
      <c r="K916" s="109"/>
      <c r="L916" s="109"/>
    </row>
    <row r="917">
      <c r="J917" s="136"/>
      <c r="K917" s="109"/>
      <c r="L917" s="109"/>
    </row>
    <row r="918">
      <c r="J918" s="136"/>
      <c r="K918" s="109"/>
      <c r="L918" s="109"/>
    </row>
    <row r="919">
      <c r="J919" s="136"/>
      <c r="K919" s="109"/>
      <c r="L919" s="109"/>
    </row>
    <row r="920">
      <c r="J920" s="136"/>
      <c r="K920" s="109"/>
      <c r="L920" s="109"/>
    </row>
    <row r="921">
      <c r="J921" s="136"/>
      <c r="K921" s="109"/>
      <c r="L921" s="109"/>
    </row>
    <row r="922">
      <c r="J922" s="136"/>
      <c r="K922" s="109"/>
      <c r="L922" s="109"/>
    </row>
    <row r="923">
      <c r="J923" s="136"/>
      <c r="K923" s="109"/>
      <c r="L923" s="109"/>
    </row>
    <row r="924">
      <c r="J924" s="136"/>
      <c r="K924" s="109"/>
      <c r="L924" s="109"/>
    </row>
    <row r="925">
      <c r="J925" s="136"/>
      <c r="K925" s="109"/>
      <c r="L925" s="109"/>
    </row>
    <row r="926">
      <c r="J926" s="136"/>
      <c r="K926" s="109"/>
      <c r="L926" s="109"/>
    </row>
    <row r="927">
      <c r="J927" s="136"/>
      <c r="K927" s="109"/>
      <c r="L927" s="109"/>
    </row>
    <row r="928">
      <c r="J928" s="136"/>
      <c r="K928" s="109"/>
      <c r="L928" s="109"/>
    </row>
    <row r="929">
      <c r="J929" s="136"/>
      <c r="K929" s="109"/>
      <c r="L929" s="109"/>
    </row>
    <row r="930">
      <c r="J930" s="136"/>
      <c r="K930" s="109"/>
      <c r="L930" s="109"/>
    </row>
    <row r="931">
      <c r="J931" s="136"/>
      <c r="K931" s="109"/>
      <c r="L931" s="109"/>
    </row>
    <row r="932">
      <c r="J932" s="136"/>
      <c r="K932" s="109"/>
      <c r="L932" s="109"/>
    </row>
    <row r="933">
      <c r="J933" s="136"/>
      <c r="K933" s="109"/>
      <c r="L933" s="109"/>
    </row>
    <row r="934">
      <c r="J934" s="136"/>
      <c r="K934" s="109"/>
      <c r="L934" s="109"/>
    </row>
    <row r="935">
      <c r="J935" s="136"/>
      <c r="K935" s="109"/>
      <c r="L935" s="109"/>
    </row>
    <row r="936">
      <c r="J936" s="136"/>
      <c r="K936" s="109"/>
      <c r="L936" s="109"/>
    </row>
    <row r="937">
      <c r="J937" s="136"/>
      <c r="K937" s="109"/>
      <c r="L937" s="109"/>
    </row>
    <row r="938">
      <c r="J938" s="136"/>
      <c r="K938" s="109"/>
      <c r="L938" s="109"/>
    </row>
    <row r="939">
      <c r="J939" s="136"/>
      <c r="K939" s="109"/>
      <c r="L939" s="109"/>
    </row>
    <row r="940">
      <c r="J940" s="136"/>
      <c r="K940" s="109"/>
      <c r="L940" s="109"/>
    </row>
    <row r="941">
      <c r="J941" s="136"/>
      <c r="K941" s="109"/>
      <c r="L941" s="109"/>
    </row>
    <row r="942">
      <c r="J942" s="136"/>
      <c r="K942" s="109"/>
      <c r="L942" s="109"/>
    </row>
    <row r="943">
      <c r="J943" s="136"/>
      <c r="K943" s="109"/>
      <c r="L943" s="109"/>
    </row>
    <row r="944">
      <c r="J944" s="136"/>
      <c r="K944" s="109"/>
      <c r="L944" s="109"/>
    </row>
    <row r="945">
      <c r="J945" s="136"/>
      <c r="K945" s="109"/>
      <c r="L945" s="109"/>
    </row>
    <row r="946">
      <c r="J946" s="136"/>
      <c r="K946" s="109"/>
      <c r="L946" s="109"/>
    </row>
    <row r="947">
      <c r="J947" s="136"/>
      <c r="K947" s="109"/>
      <c r="L947" s="109"/>
    </row>
    <row r="948">
      <c r="J948" s="136"/>
      <c r="K948" s="109"/>
      <c r="L948" s="109"/>
    </row>
    <row r="949">
      <c r="J949" s="136"/>
      <c r="K949" s="109"/>
      <c r="L949" s="109"/>
    </row>
    <row r="950">
      <c r="J950" s="136"/>
      <c r="K950" s="109"/>
      <c r="L950" s="109"/>
    </row>
    <row r="951">
      <c r="J951" s="136"/>
      <c r="K951" s="109"/>
      <c r="L951" s="109"/>
    </row>
    <row r="952">
      <c r="J952" s="136"/>
      <c r="K952" s="109"/>
      <c r="L952" s="109"/>
    </row>
    <row r="953">
      <c r="J953" s="136"/>
      <c r="K953" s="109"/>
      <c r="L953" s="109"/>
    </row>
    <row r="954">
      <c r="J954" s="136"/>
      <c r="K954" s="109"/>
      <c r="L954" s="109"/>
    </row>
    <row r="955">
      <c r="J955" s="136"/>
      <c r="K955" s="109"/>
      <c r="L955" s="109"/>
    </row>
    <row r="956">
      <c r="J956" s="136"/>
      <c r="K956" s="109"/>
      <c r="L956" s="109"/>
    </row>
    <row r="957">
      <c r="J957" s="136"/>
      <c r="K957" s="109"/>
      <c r="L957" s="109"/>
    </row>
    <row r="958">
      <c r="J958" s="136"/>
      <c r="K958" s="109"/>
      <c r="L958" s="109"/>
    </row>
    <row r="959">
      <c r="J959" s="136"/>
      <c r="K959" s="109"/>
      <c r="L959" s="109"/>
    </row>
    <row r="960">
      <c r="J960" s="136"/>
      <c r="K960" s="109"/>
      <c r="L960" s="109"/>
    </row>
    <row r="961">
      <c r="J961" s="136"/>
      <c r="K961" s="109"/>
      <c r="L961" s="109"/>
    </row>
    <row r="962">
      <c r="J962" s="136"/>
      <c r="K962" s="109"/>
      <c r="L962" s="109"/>
    </row>
    <row r="963">
      <c r="J963" s="136"/>
      <c r="K963" s="109"/>
      <c r="L963" s="109"/>
    </row>
    <row r="964">
      <c r="J964" s="136"/>
      <c r="K964" s="109"/>
      <c r="L964" s="109"/>
    </row>
    <row r="965">
      <c r="J965" s="136"/>
      <c r="K965" s="109"/>
      <c r="L965" s="109"/>
    </row>
    <row r="966">
      <c r="J966" s="136"/>
      <c r="K966" s="109"/>
      <c r="L966" s="109"/>
    </row>
    <row r="967">
      <c r="J967" s="136"/>
      <c r="K967" s="109"/>
      <c r="L967" s="109"/>
    </row>
    <row r="968">
      <c r="J968" s="136"/>
      <c r="K968" s="109"/>
      <c r="L968" s="109"/>
    </row>
    <row r="969">
      <c r="J969" s="136"/>
      <c r="K969" s="109"/>
      <c r="L969" s="109"/>
    </row>
    <row r="970">
      <c r="J970" s="136"/>
      <c r="K970" s="109"/>
      <c r="L970" s="109"/>
    </row>
    <row r="971">
      <c r="J971" s="136"/>
      <c r="K971" s="109"/>
      <c r="L971" s="109"/>
    </row>
    <row r="972">
      <c r="J972" s="136"/>
      <c r="K972" s="109"/>
      <c r="L972" s="109"/>
    </row>
    <row r="973">
      <c r="J973" s="136"/>
      <c r="K973" s="109"/>
      <c r="L973" s="109"/>
    </row>
    <row r="974">
      <c r="J974" s="136"/>
      <c r="K974" s="109"/>
      <c r="L974" s="109"/>
    </row>
    <row r="975">
      <c r="J975" s="136"/>
      <c r="K975" s="109"/>
      <c r="L975" s="109"/>
    </row>
    <row r="976">
      <c r="J976" s="136"/>
      <c r="K976" s="109"/>
      <c r="L976" s="109"/>
    </row>
    <row r="977">
      <c r="J977" s="136"/>
      <c r="K977" s="109"/>
      <c r="L977" s="109"/>
    </row>
    <row r="978">
      <c r="J978" s="136"/>
      <c r="K978" s="109"/>
      <c r="L978" s="109"/>
    </row>
    <row r="979">
      <c r="J979" s="136"/>
      <c r="K979" s="109"/>
      <c r="L979" s="109"/>
    </row>
    <row r="980">
      <c r="J980" s="136"/>
      <c r="K980" s="109"/>
      <c r="L980" s="109"/>
    </row>
    <row r="981">
      <c r="J981" s="136"/>
      <c r="K981" s="109"/>
      <c r="L981" s="109"/>
    </row>
    <row r="982">
      <c r="J982" s="136"/>
      <c r="K982" s="109"/>
      <c r="L982" s="109"/>
    </row>
    <row r="983">
      <c r="J983" s="136"/>
      <c r="K983" s="109"/>
      <c r="L983" s="109"/>
    </row>
    <row r="984">
      <c r="J984" s="136"/>
      <c r="K984" s="109"/>
      <c r="L984" s="109"/>
    </row>
    <row r="985">
      <c r="J985" s="136"/>
      <c r="K985" s="109"/>
      <c r="L985" s="109"/>
    </row>
    <row r="986">
      <c r="J986" s="136"/>
      <c r="K986" s="109"/>
      <c r="L986" s="109"/>
    </row>
    <row r="987">
      <c r="J987" s="136"/>
      <c r="K987" s="109"/>
      <c r="L987" s="109"/>
    </row>
    <row r="988">
      <c r="J988" s="136"/>
      <c r="K988" s="109"/>
      <c r="L988" s="109"/>
    </row>
    <row r="989">
      <c r="J989" s="136"/>
      <c r="K989" s="109"/>
      <c r="L989" s="109"/>
    </row>
    <row r="990">
      <c r="J990" s="136"/>
      <c r="K990" s="109"/>
      <c r="L990" s="109"/>
    </row>
    <row r="991">
      <c r="J991" s="136"/>
      <c r="K991" s="109"/>
      <c r="L991" s="109"/>
    </row>
    <row r="992">
      <c r="J992" s="136"/>
      <c r="K992" s="109"/>
      <c r="L992" s="109"/>
    </row>
    <row r="993">
      <c r="J993" s="136"/>
      <c r="K993" s="109"/>
      <c r="L993" s="109"/>
    </row>
    <row r="994">
      <c r="J994" s="136"/>
      <c r="K994" s="109"/>
      <c r="L994" s="109"/>
    </row>
    <row r="995">
      <c r="J995" s="136"/>
      <c r="K995" s="109"/>
      <c r="L995" s="109"/>
    </row>
    <row r="996">
      <c r="J996" s="136"/>
      <c r="K996" s="109"/>
      <c r="L996" s="109"/>
    </row>
    <row r="997">
      <c r="J997" s="136"/>
      <c r="K997" s="109"/>
      <c r="L997" s="109"/>
    </row>
    <row r="998">
      <c r="J998" s="136"/>
      <c r="K998" s="109"/>
      <c r="L998" s="109"/>
    </row>
    <row r="999">
      <c r="J999" s="136"/>
      <c r="K999" s="109"/>
      <c r="L999" s="109"/>
    </row>
    <row r="1000">
      <c r="J1000" s="136"/>
      <c r="K1000" s="109"/>
      <c r="L1000" s="109"/>
    </row>
    <row r="1001">
      <c r="J1001" s="136"/>
      <c r="K1001" s="109"/>
      <c r="L1001" s="109"/>
    </row>
    <row r="1002">
      <c r="J1002" s="136"/>
      <c r="K1002" s="109"/>
      <c r="L1002" s="109"/>
    </row>
    <row r="1003">
      <c r="J1003" s="136"/>
      <c r="K1003" s="109"/>
      <c r="L1003" s="109"/>
    </row>
    <row r="1004">
      <c r="J1004" s="136"/>
      <c r="K1004" s="109"/>
      <c r="L1004" s="109"/>
    </row>
    <row r="1005">
      <c r="J1005" s="136"/>
      <c r="K1005" s="109"/>
      <c r="L1005" s="109"/>
    </row>
    <row r="1006">
      <c r="J1006" s="136"/>
      <c r="K1006" s="109"/>
      <c r="L1006" s="109"/>
    </row>
    <row r="1007">
      <c r="J1007" s="136"/>
      <c r="K1007" s="109"/>
      <c r="L1007" s="109"/>
    </row>
    <row r="1008">
      <c r="J1008" s="136"/>
      <c r="K1008" s="109"/>
      <c r="L1008" s="109"/>
    </row>
    <row r="1009">
      <c r="J1009" s="136"/>
      <c r="K1009" s="109"/>
      <c r="L1009" s="109"/>
    </row>
    <row r="1010">
      <c r="J1010" s="136"/>
      <c r="K1010" s="109"/>
      <c r="L1010" s="109"/>
    </row>
    <row r="1011">
      <c r="J1011" s="136"/>
      <c r="K1011" s="109"/>
      <c r="L1011" s="109"/>
    </row>
    <row r="1012">
      <c r="J1012" s="136"/>
      <c r="K1012" s="109"/>
      <c r="L1012" s="109"/>
    </row>
    <row r="1013">
      <c r="J1013" s="136"/>
      <c r="K1013" s="109"/>
      <c r="L1013" s="109"/>
    </row>
    <row r="1014">
      <c r="J1014" s="136"/>
      <c r="K1014" s="109"/>
      <c r="L1014" s="109"/>
    </row>
    <row r="1015">
      <c r="J1015" s="136"/>
      <c r="K1015" s="109"/>
      <c r="L1015" s="109"/>
    </row>
    <row r="1016">
      <c r="J1016" s="136"/>
      <c r="K1016" s="109"/>
      <c r="L1016" s="109"/>
    </row>
    <row r="1017">
      <c r="J1017" s="136"/>
      <c r="K1017" s="109"/>
      <c r="L1017" s="109"/>
    </row>
    <row r="1018">
      <c r="J1018" s="136"/>
      <c r="K1018" s="109"/>
      <c r="L1018" s="109"/>
    </row>
    <row r="1019">
      <c r="J1019" s="136"/>
      <c r="K1019" s="109"/>
      <c r="L1019" s="109"/>
    </row>
    <row r="1020">
      <c r="J1020" s="136"/>
      <c r="K1020" s="109"/>
      <c r="L1020" s="109"/>
    </row>
    <row r="1021">
      <c r="J1021" s="136"/>
      <c r="K1021" s="109"/>
      <c r="L1021" s="109"/>
    </row>
    <row r="1022">
      <c r="J1022" s="136"/>
      <c r="K1022" s="109"/>
      <c r="L1022" s="109"/>
    </row>
    <row r="1023">
      <c r="J1023" s="136"/>
      <c r="K1023" s="109"/>
      <c r="L1023" s="109"/>
    </row>
    <row r="1024">
      <c r="J1024" s="136"/>
      <c r="K1024" s="109"/>
      <c r="L1024" s="109"/>
    </row>
    <row r="1025">
      <c r="J1025" s="136"/>
      <c r="K1025" s="109"/>
      <c r="L1025" s="109"/>
    </row>
    <row r="1026">
      <c r="J1026" s="136"/>
      <c r="K1026" s="109"/>
      <c r="L1026" s="109"/>
    </row>
    <row r="1027">
      <c r="J1027" s="136"/>
      <c r="K1027" s="109"/>
      <c r="L1027" s="109"/>
    </row>
    <row r="1028">
      <c r="J1028" s="136"/>
      <c r="K1028" s="109"/>
      <c r="L1028" s="109"/>
    </row>
    <row r="1029">
      <c r="J1029" s="136"/>
      <c r="K1029" s="109"/>
      <c r="L1029" s="109"/>
    </row>
    <row r="1030">
      <c r="J1030" s="136"/>
      <c r="K1030" s="109"/>
      <c r="L1030" s="109"/>
    </row>
    <row r="1031">
      <c r="J1031" s="136"/>
      <c r="K1031" s="109"/>
      <c r="L1031" s="109"/>
    </row>
    <row r="1032">
      <c r="J1032" s="136"/>
      <c r="K1032" s="109"/>
      <c r="L1032" s="109"/>
    </row>
    <row r="1033">
      <c r="J1033" s="136"/>
      <c r="K1033" s="109"/>
      <c r="L1033" s="109"/>
    </row>
    <row r="1034">
      <c r="J1034" s="136"/>
      <c r="K1034" s="109"/>
      <c r="L1034" s="109"/>
    </row>
    <row r="1035">
      <c r="J1035" s="136"/>
      <c r="K1035" s="109"/>
      <c r="L1035" s="109"/>
    </row>
    <row r="1036">
      <c r="J1036" s="136"/>
      <c r="K1036" s="109"/>
      <c r="L1036" s="109"/>
    </row>
    <row r="1037">
      <c r="J1037" s="136"/>
      <c r="K1037" s="109"/>
      <c r="L1037" s="109"/>
    </row>
    <row r="1038">
      <c r="J1038" s="136"/>
      <c r="K1038" s="109"/>
      <c r="L1038" s="109"/>
    </row>
    <row r="1039">
      <c r="J1039" s="136"/>
      <c r="K1039" s="109"/>
      <c r="L1039" s="109"/>
    </row>
    <row r="1040">
      <c r="J1040" s="136"/>
      <c r="K1040" s="109"/>
      <c r="L1040" s="109"/>
    </row>
    <row r="1041">
      <c r="J1041" s="136"/>
      <c r="K1041" s="109"/>
      <c r="L1041" s="109"/>
    </row>
    <row r="1042">
      <c r="J1042" s="136"/>
      <c r="K1042" s="109"/>
      <c r="L1042" s="109"/>
    </row>
    <row r="1043">
      <c r="J1043" s="136"/>
      <c r="K1043" s="109"/>
      <c r="L1043" s="109"/>
    </row>
    <row r="1044">
      <c r="J1044" s="136"/>
      <c r="K1044" s="109"/>
      <c r="L1044" s="109"/>
    </row>
    <row r="1045">
      <c r="J1045" s="136"/>
      <c r="K1045" s="109"/>
      <c r="L1045" s="109"/>
    </row>
    <row r="1046">
      <c r="J1046" s="136"/>
      <c r="K1046" s="109"/>
      <c r="L1046" s="109"/>
    </row>
    <row r="1047">
      <c r="J1047" s="136"/>
      <c r="K1047" s="109"/>
      <c r="L1047" s="109"/>
    </row>
    <row r="1048">
      <c r="J1048" s="136"/>
      <c r="K1048" s="109"/>
      <c r="L1048" s="109"/>
    </row>
    <row r="1049">
      <c r="J1049" s="136"/>
      <c r="K1049" s="109"/>
      <c r="L1049" s="109"/>
    </row>
    <row r="1050">
      <c r="J1050" s="136"/>
      <c r="K1050" s="109"/>
      <c r="L1050" s="109"/>
    </row>
    <row r="1051">
      <c r="J1051" s="136"/>
      <c r="K1051" s="109"/>
      <c r="L1051" s="109"/>
    </row>
    <row r="1052">
      <c r="J1052" s="136"/>
      <c r="K1052" s="109"/>
      <c r="L1052" s="109"/>
    </row>
    <row r="1053">
      <c r="J1053" s="136"/>
      <c r="K1053" s="109"/>
      <c r="L1053" s="109"/>
    </row>
    <row r="1054">
      <c r="J1054" s="136"/>
      <c r="K1054" s="109"/>
      <c r="L1054" s="109"/>
    </row>
    <row r="1055">
      <c r="J1055" s="136"/>
      <c r="K1055" s="109"/>
      <c r="L1055" s="109"/>
    </row>
    <row r="1056">
      <c r="J1056" s="136"/>
      <c r="K1056" s="109"/>
      <c r="L1056" s="109"/>
    </row>
    <row r="1057">
      <c r="J1057" s="136"/>
      <c r="K1057" s="109"/>
      <c r="L1057" s="109"/>
    </row>
    <row r="1058">
      <c r="J1058" s="136"/>
      <c r="K1058" s="109"/>
      <c r="L1058" s="109"/>
    </row>
    <row r="1059">
      <c r="J1059" s="136"/>
      <c r="K1059" s="109"/>
      <c r="L1059" s="109"/>
    </row>
    <row r="1060">
      <c r="J1060" s="136"/>
      <c r="K1060" s="109"/>
      <c r="L1060" s="109"/>
    </row>
    <row r="1061">
      <c r="J1061" s="136"/>
      <c r="K1061" s="109"/>
      <c r="L1061" s="109"/>
    </row>
    <row r="1062">
      <c r="J1062" s="136"/>
      <c r="K1062" s="109"/>
      <c r="L1062" s="109"/>
    </row>
    <row r="1063">
      <c r="J1063" s="136"/>
      <c r="K1063" s="109"/>
      <c r="L1063" s="109"/>
    </row>
    <row r="1064">
      <c r="J1064" s="136"/>
      <c r="K1064" s="109"/>
      <c r="L1064" s="109"/>
    </row>
    <row r="1065">
      <c r="J1065" s="136"/>
      <c r="K1065" s="109"/>
      <c r="L1065" s="109"/>
    </row>
    <row r="1066">
      <c r="J1066" s="136"/>
      <c r="K1066" s="109"/>
      <c r="L1066" s="109"/>
    </row>
    <row r="1067">
      <c r="J1067" s="136"/>
      <c r="K1067" s="109"/>
      <c r="L1067" s="109"/>
    </row>
    <row r="1068">
      <c r="J1068" s="136"/>
      <c r="K1068" s="109"/>
      <c r="L1068" s="109"/>
    </row>
    <row r="1069">
      <c r="J1069" s="136"/>
      <c r="K1069" s="109"/>
      <c r="L1069" s="109"/>
    </row>
    <row r="1070">
      <c r="J1070" s="136"/>
      <c r="K1070" s="109"/>
      <c r="L1070" s="109"/>
    </row>
    <row r="1071">
      <c r="J1071" s="136"/>
      <c r="K1071" s="109"/>
      <c r="L1071" s="109"/>
    </row>
    <row r="1072">
      <c r="J1072" s="136"/>
      <c r="K1072" s="109"/>
      <c r="L1072" s="109"/>
    </row>
    <row r="1073">
      <c r="J1073" s="136"/>
      <c r="K1073" s="109"/>
      <c r="L1073" s="109"/>
    </row>
    <row r="1074">
      <c r="J1074" s="136"/>
      <c r="K1074" s="109"/>
      <c r="L1074" s="109"/>
    </row>
    <row r="1075">
      <c r="J1075" s="136"/>
      <c r="K1075" s="109"/>
      <c r="L1075" s="109"/>
    </row>
    <row r="1076">
      <c r="J1076" s="136"/>
      <c r="K1076" s="109"/>
      <c r="L1076" s="109"/>
    </row>
    <row r="1077">
      <c r="J1077" s="136"/>
      <c r="K1077" s="109"/>
      <c r="L1077" s="109"/>
    </row>
    <row r="1078">
      <c r="J1078" s="136"/>
      <c r="K1078" s="109"/>
      <c r="L1078" s="109"/>
    </row>
    <row r="1079">
      <c r="J1079" s="136"/>
      <c r="K1079" s="109"/>
      <c r="L1079" s="109"/>
    </row>
    <row r="1080">
      <c r="J1080" s="136"/>
      <c r="K1080" s="109"/>
      <c r="L1080" s="109"/>
    </row>
    <row r="1081">
      <c r="J1081" s="136"/>
      <c r="K1081" s="109"/>
      <c r="L1081" s="109"/>
    </row>
    <row r="1082">
      <c r="J1082" s="136"/>
      <c r="K1082" s="109"/>
      <c r="L1082" s="109"/>
    </row>
    <row r="1083">
      <c r="J1083" s="136"/>
      <c r="K1083" s="109"/>
      <c r="L1083" s="109"/>
    </row>
    <row r="1084">
      <c r="J1084" s="136"/>
      <c r="K1084" s="109"/>
      <c r="L1084" s="109"/>
    </row>
    <row r="1085">
      <c r="J1085" s="136"/>
      <c r="K1085" s="109"/>
      <c r="L1085" s="109"/>
    </row>
    <row r="1086">
      <c r="J1086" s="136"/>
      <c r="K1086" s="109"/>
      <c r="L1086" s="109"/>
    </row>
    <row r="1087">
      <c r="J1087" s="136"/>
      <c r="K1087" s="109"/>
      <c r="L1087" s="109"/>
    </row>
    <row r="1088">
      <c r="J1088" s="136"/>
      <c r="K1088" s="109"/>
      <c r="L1088" s="109"/>
    </row>
    <row r="1089">
      <c r="J1089" s="136"/>
      <c r="K1089" s="109"/>
      <c r="L1089" s="109"/>
    </row>
    <row r="1090">
      <c r="J1090" s="136"/>
      <c r="K1090" s="109"/>
      <c r="L1090" s="109"/>
    </row>
    <row r="1091">
      <c r="J1091" s="136"/>
      <c r="K1091" s="109"/>
      <c r="L1091" s="109"/>
    </row>
    <row r="1092">
      <c r="J1092" s="136"/>
      <c r="K1092" s="109"/>
      <c r="L1092" s="109"/>
    </row>
    <row r="1093">
      <c r="J1093" s="136"/>
      <c r="K1093" s="109"/>
      <c r="L1093" s="109"/>
    </row>
    <row r="1094">
      <c r="J1094" s="136"/>
      <c r="K1094" s="109"/>
      <c r="L1094" s="109"/>
    </row>
    <row r="1095">
      <c r="J1095" s="136"/>
      <c r="K1095" s="109"/>
      <c r="L1095" s="109"/>
    </row>
    <row r="1096">
      <c r="J1096" s="136"/>
      <c r="K1096" s="109"/>
      <c r="L1096" s="109"/>
    </row>
    <row r="1097">
      <c r="J1097" s="136"/>
      <c r="K1097" s="109"/>
      <c r="L1097" s="109"/>
    </row>
    <row r="1098">
      <c r="J1098" s="136"/>
      <c r="K1098" s="109"/>
      <c r="L1098" s="109"/>
    </row>
    <row r="1099">
      <c r="J1099" s="136"/>
      <c r="K1099" s="109"/>
      <c r="L1099" s="109"/>
    </row>
    <row r="1100">
      <c r="J1100" s="136"/>
      <c r="K1100" s="109"/>
      <c r="L1100" s="109"/>
    </row>
    <row r="1101">
      <c r="J1101" s="136"/>
      <c r="K1101" s="109"/>
      <c r="L1101" s="109"/>
    </row>
    <row r="1102">
      <c r="J1102" s="136"/>
      <c r="K1102" s="109"/>
      <c r="L1102" s="109"/>
    </row>
    <row r="1103">
      <c r="J1103" s="136"/>
      <c r="K1103" s="109"/>
      <c r="L1103" s="109"/>
    </row>
    <row r="1104">
      <c r="J1104" s="136"/>
      <c r="K1104" s="109"/>
      <c r="L1104" s="109"/>
    </row>
    <row r="1105">
      <c r="J1105" s="136"/>
      <c r="K1105" s="109"/>
      <c r="L1105" s="109"/>
    </row>
    <row r="1106">
      <c r="J1106" s="136"/>
      <c r="K1106" s="109"/>
      <c r="L1106" s="109"/>
    </row>
    <row r="1107">
      <c r="J1107" s="136"/>
      <c r="K1107" s="109"/>
      <c r="L1107" s="109"/>
    </row>
    <row r="1108">
      <c r="J1108" s="136"/>
      <c r="K1108" s="109"/>
      <c r="L1108" s="109"/>
    </row>
    <row r="1109">
      <c r="J1109" s="136"/>
      <c r="K1109" s="109"/>
      <c r="L1109" s="109"/>
    </row>
    <row r="1110">
      <c r="J1110" s="136"/>
      <c r="K1110" s="109"/>
      <c r="L1110" s="109"/>
    </row>
    <row r="1111">
      <c r="J1111" s="136"/>
      <c r="K1111" s="109"/>
      <c r="L1111" s="109"/>
    </row>
    <row r="1112">
      <c r="J1112" s="151"/>
      <c r="K1112" s="120"/>
      <c r="L1112" s="120"/>
    </row>
  </sheetData>
  <hyperlinks>
    <hyperlink r:id="rId1" ref="A1"/>
    <hyperlink r:id="rId2" ref="A3"/>
    <hyperlink r:id="rId3" ref="A5"/>
  </hyperlinks>
  <drawing r:id="rId4"/>
</worksheet>
</file>